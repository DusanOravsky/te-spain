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cvcta\projects\covestro\te_spain\docs\"/>
    </mc:Choice>
  </mc:AlternateContent>
  <xr:revisionPtr revIDLastSave="0" documentId="13_ncr:1_{37A358E6-5C8F-4507-9932-C1EEBCA3DF3E}" xr6:coauthVersionLast="47" xr6:coauthVersionMax="47" xr10:uidLastSave="{00000000-0000-0000-0000-000000000000}"/>
  <bookViews>
    <workbookView xWindow="-108" yWindow="-108" windowWidth="41496" windowHeight="16776" activeTab="1" xr2:uid="{85518419-1C30-4568-AA89-CB67E1CAC9BA}"/>
  </bookViews>
  <sheets>
    <sheet name="Información" sheetId="2" r:id="rId1"/>
    <sheet name="Liquidaciones de combustible" sheetId="1" r:id="rId2"/>
    <sheet name="consumo" sheetId="12" r:id="rId3"/>
    <sheet name="flota" sheetId="4" r:id="rId4"/>
  </sheets>
  <definedNames>
    <definedName name="_xlnm._FilterDatabase" localSheetId="3" hidden="1">flota!$B$10:$Q$66</definedName>
  </definedNames>
  <calcPr calcId="191028" concurrentManualCount="14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3" i="1" l="1"/>
  <c r="J143" i="1"/>
  <c r="N145" i="1"/>
  <c r="L147" i="1" s="1"/>
  <c r="J145" i="1"/>
  <c r="H147" i="1" s="1"/>
  <c r="I143" i="1"/>
  <c r="M143" i="1"/>
  <c r="O143" i="1" l="1"/>
  <c r="K143" i="1"/>
  <c r="J94" i="1"/>
  <c r="K94" i="1" s="1"/>
  <c r="J95" i="1"/>
  <c r="K95" i="1" s="1"/>
  <c r="J96" i="1"/>
  <c r="K96" i="1" s="1"/>
  <c r="J97" i="1"/>
  <c r="K97" i="1" s="1"/>
  <c r="I145" i="1"/>
  <c r="M145" i="1"/>
  <c r="O145" i="1" l="1"/>
  <c r="K145" i="1"/>
  <c r="J42" i="1"/>
  <c r="K42" i="1" s="1"/>
  <c r="J31" i="1"/>
  <c r="K31" i="1" s="1"/>
  <c r="K30" i="1"/>
  <c r="J13" i="1"/>
  <c r="K13" i="1" s="1"/>
  <c r="D13" i="1"/>
  <c r="F13" i="1" s="1"/>
  <c r="G13" i="1" s="1"/>
  <c r="J12" i="1"/>
  <c r="K12" i="1" s="1"/>
  <c r="D12" i="1"/>
  <c r="F12" i="1" s="1"/>
  <c r="G12" i="1" s="1"/>
  <c r="J11" i="1"/>
  <c r="K11" i="1" s="1"/>
  <c r="D11" i="1"/>
  <c r="F11" i="1" s="1"/>
  <c r="G11" i="1" s="1"/>
  <c r="J10" i="1"/>
  <c r="K10" i="1" s="1"/>
  <c r="D10" i="1"/>
  <c r="F10" i="1" s="1"/>
  <c r="G10" i="1" s="1"/>
  <c r="J9" i="1"/>
  <c r="K9" i="1" s="1"/>
  <c r="D9" i="1"/>
  <c r="F9" i="1" s="1"/>
  <c r="G9" i="1" s="1"/>
  <c r="J8" i="1"/>
  <c r="K8" i="1" s="1"/>
  <c r="D8" i="1"/>
  <c r="F8" i="1" s="1"/>
  <c r="G8" i="1" s="1"/>
  <c r="J7" i="1"/>
  <c r="K7" i="1" s="1"/>
  <c r="D7" i="1"/>
  <c r="F7" i="1" s="1"/>
  <c r="G7" i="1" s="1"/>
</calcChain>
</file>

<file path=xl/sharedStrings.xml><?xml version="1.0" encoding="utf-8"?>
<sst xmlns="http://schemas.openxmlformats.org/spreadsheetml/2006/main" count="612" uniqueCount="334">
  <si>
    <t>(*) Precios del Ministerio de industria, comercio y turismo.</t>
  </si>
  <si>
    <t>http://www.minetur.gob.es/energia/petroleo/Precios/Informes/InformesMensuales/Paginas/IndexInformesMensuales.aspx</t>
  </si>
  <si>
    <t>Geoportal (geoportalgasolineras.es)</t>
  </si>
  <si>
    <t>2. Calcular con listado de flota el promedio de consumo l/100km por tipo de combustible</t>
  </si>
  <si>
    <t>3. Bajar de https://geoportalgasolineras.es/geoportal-instalaciones/Inicio  listado de gasolineras con Precio €/l por tipo de combustible</t>
  </si>
  <si>
    <t>Liquidaciones combustible xx/xx/xxxx</t>
  </si>
  <si>
    <t>4. Calcular del geoportal el precio promedio por litro combustible (Precio €/l)</t>
  </si>
  <si>
    <t>Enviar por mail a:</t>
  </si>
  <si>
    <t xml:space="preserve">5. Coger el cálculo 2 (promedio de consumo l/100km por tipo de combustible) y hacer la siguiente formula </t>
  </si>
  <si>
    <t>global.travelexpenses@covestro.com</t>
  </si>
  <si>
    <t xml:space="preserve"> "+ROUND(promedio de consumo l/100km por tipo de combustible*1,2;1)"</t>
  </si>
  <si>
    <t>Sandra Klein &lt;sandra.klein1@covestro.com&gt;; Sonia Rosello Hernandez &lt;sonia.rosellohernandez@covestro.com&gt;</t>
  </si>
  <si>
    <t xml:space="preserve">6. Calcular Tarifa €/km por tipo de combustible ---&gt; formula es el 2 x 5 </t>
  </si>
  <si>
    <t>(promedio Consumo l/100km x promedio Precio €/litro ajustado /100)</t>
  </si>
  <si>
    <t>Dear colleagues;</t>
  </si>
  <si>
    <t xml:space="preserve">Find below updated price for diesel applicable for xxx </t>
  </si>
  <si>
    <t xml:space="preserve">
Remark: at this moment we only have diesel (gasoil) which is marked in yellow. 
</t>
  </si>
  <si>
    <t>detalles paso 3:</t>
  </si>
  <si>
    <t>(*) Precios del combustible</t>
  </si>
  <si>
    <t>Precio a pagar por Km. particular en coche de renting</t>
  </si>
  <si>
    <t>Fecha del cálculo</t>
  </si>
  <si>
    <t>Gasolina eurosuper s/Pb I.O. 95</t>
  </si>
  <si>
    <t>Gasolina eurosuper s/Pb I.O. 98</t>
  </si>
  <si>
    <t>Precio medio Gas. euros. 95-98</t>
  </si>
  <si>
    <t>Consumo Gasolina l/100km</t>
  </si>
  <si>
    <t>Precio €/l Gasolina</t>
  </si>
  <si>
    <t>Tarifa €/km Gasolina</t>
  </si>
  <si>
    <t>Gasóleo A</t>
  </si>
  <si>
    <t>Consumo Gasoil l/100km</t>
  </si>
  <si>
    <t>Precio €/l Gasoil</t>
  </si>
  <si>
    <t>Tarifa €/km Gasoil</t>
  </si>
  <si>
    <t>24/07/2015</t>
  </si>
  <si>
    <t>25/08/2015</t>
  </si>
  <si>
    <t>28/09/2015</t>
  </si>
  <si>
    <t>27/10/2015</t>
  </si>
  <si>
    <t>27/11/2015</t>
  </si>
  <si>
    <t>30/12/2015</t>
  </si>
  <si>
    <t>27/01/2016</t>
  </si>
  <si>
    <t>26/10/2016</t>
  </si>
  <si>
    <t>28/11/2016</t>
  </si>
  <si>
    <t>23/12/2016</t>
  </si>
  <si>
    <t>30/01/2017</t>
  </si>
  <si>
    <t>28/02/2017</t>
  </si>
  <si>
    <t>27/03/2017</t>
  </si>
  <si>
    <t>27/04/2017</t>
  </si>
  <si>
    <t>26/05/2017</t>
  </si>
  <si>
    <t>29/06/2017</t>
  </si>
  <si>
    <t>31/07/2017</t>
  </si>
  <si>
    <t>24/08/2017</t>
  </si>
  <si>
    <t>26/09/2017</t>
  </si>
  <si>
    <t>30/10/2017</t>
  </si>
  <si>
    <t>29/11/2017</t>
  </si>
  <si>
    <t>29/12/2017</t>
  </si>
  <si>
    <t>29/01/2018</t>
  </si>
  <si>
    <t>28/02/2018</t>
  </si>
  <si>
    <t>28/03/2018</t>
  </si>
  <si>
    <t>30/04/2018</t>
  </si>
  <si>
    <t>29/05/2018</t>
  </si>
  <si>
    <t>28/06/2018</t>
  </si>
  <si>
    <t>30/07/2018</t>
  </si>
  <si>
    <t>29/08/2018</t>
  </si>
  <si>
    <t>28/09/2018</t>
  </si>
  <si>
    <t>30/10/2018</t>
  </si>
  <si>
    <t>30/11/2018</t>
  </si>
  <si>
    <t>28/12/2018</t>
  </si>
  <si>
    <t>01/02/2019</t>
  </si>
  <si>
    <t>28/02/2019</t>
  </si>
  <si>
    <t>01/04/2019</t>
  </si>
  <si>
    <t>06/05/2019</t>
  </si>
  <si>
    <t>31/05/2019</t>
  </si>
  <si>
    <t>28/06/2019</t>
  </si>
  <si>
    <t>29/07/2019</t>
  </si>
  <si>
    <t>30/08/2019</t>
  </si>
  <si>
    <t>30/09/2019</t>
  </si>
  <si>
    <t>31/10/2019</t>
  </si>
  <si>
    <t>04/12/2019</t>
  </si>
  <si>
    <t>07/01/2020</t>
  </si>
  <si>
    <t>31/01/2020</t>
  </si>
  <si>
    <t>03/03/2020</t>
  </si>
  <si>
    <t>30/04/2020</t>
  </si>
  <si>
    <t>31/05/2020</t>
  </si>
  <si>
    <t>02/07/2020</t>
  </si>
  <si>
    <t>03/08/2020</t>
  </si>
  <si>
    <t>17/09/2020</t>
  </si>
  <si>
    <t>05/10/2020</t>
  </si>
  <si>
    <t>02/11/2020</t>
  </si>
  <si>
    <t>07/12/2020</t>
  </si>
  <si>
    <t>11/01/2021</t>
  </si>
  <si>
    <t>27/01/2021</t>
  </si>
  <si>
    <t>04/03/2021</t>
  </si>
  <si>
    <t>07/04/2021</t>
  </si>
  <si>
    <t>06/05/2021</t>
  </si>
  <si>
    <t>31/05/2021</t>
  </si>
  <si>
    <t>01/07/2021</t>
  </si>
  <si>
    <t>BOE.es - BOE-A-2022-4972 Real Decreto-ley 6/2022, de 29 de marzo, por el que se adoptan medidas urgentes en el marco del Plan Nacional de respuesta a las consecuencias económicas y sociales de la guerra en Ucrania.</t>
  </si>
  <si>
    <t>02/08/2021</t>
  </si>
  <si>
    <t>31/08/2021</t>
  </si>
  <si>
    <t>04/10/2021</t>
  </si>
  <si>
    <t>29/10/2021</t>
  </si>
  <si>
    <t>02/12/2021</t>
  </si>
  <si>
    <t>30/12/2021</t>
  </si>
  <si>
    <t>26/01/2022</t>
  </si>
  <si>
    <t>28/02/2022</t>
  </si>
  <si>
    <t>04/04/2022</t>
  </si>
  <si>
    <t>29/04/2022</t>
  </si>
  <si>
    <t>03/06/2022</t>
  </si>
  <si>
    <t>01/07/2022</t>
  </si>
  <si>
    <t>29/07/2022</t>
  </si>
  <si>
    <t>05/09/2022</t>
  </si>
  <si>
    <t>30/09/2022</t>
  </si>
  <si>
    <t>31/10/2022</t>
  </si>
  <si>
    <t>01/12/2022</t>
  </si>
  <si>
    <t>30/12/2022</t>
  </si>
  <si>
    <t>Desde Enero 2023 se acaba la ayuda de 0,20 centímos.</t>
  </si>
  <si>
    <t>02/02/2023</t>
  </si>
  <si>
    <t>06/03/2023</t>
  </si>
  <si>
    <t>Propietario</t>
  </si>
  <si>
    <t>Row Labels</t>
  </si>
  <si>
    <t>Average of Consumo Fabricante</t>
  </si>
  <si>
    <t>Diésel</t>
  </si>
  <si>
    <t>Serie 2</t>
  </si>
  <si>
    <t>Serie 3</t>
  </si>
  <si>
    <t>Eléctrico Plug-In: BEV</t>
  </si>
  <si>
    <t>Grand Total</t>
  </si>
  <si>
    <t>Matrícula</t>
  </si>
  <si>
    <t>Marca</t>
  </si>
  <si>
    <t>Modelo</t>
  </si>
  <si>
    <t>Versión</t>
  </si>
  <si>
    <t>Usuario: Nombre Completo</t>
  </si>
  <si>
    <t>Usuario: Nivel</t>
  </si>
  <si>
    <t>Consumo Fabricante</t>
  </si>
  <si>
    <t>Tipo Combustible</t>
  </si>
  <si>
    <t>Contrato: Meses Contratados</t>
  </si>
  <si>
    <t>Contrato: Km Contratados</t>
  </si>
  <si>
    <t>IPP1641003</t>
  </si>
  <si>
    <t>Serra Castello, Jose</t>
  </si>
  <si>
    <t>B</t>
  </si>
  <si>
    <t>BMW</t>
  </si>
  <si>
    <t>Simon Guerrero, Fernando</t>
  </si>
  <si>
    <t>IPZF608320</t>
  </si>
  <si>
    <t>Robles Pujals, Jose Maria</t>
  </si>
  <si>
    <t>IPTR631031</t>
  </si>
  <si>
    <t>Almato Guiteras, Maria</t>
  </si>
  <si>
    <t>A</t>
  </si>
  <si>
    <t>IPMK581100</t>
  </si>
  <si>
    <t>Ferre Vallverdu, Lluis</t>
  </si>
  <si>
    <t>320d Auto.</t>
  </si>
  <si>
    <t>Codina Jornet, Joan</t>
  </si>
  <si>
    <t>C</t>
  </si>
  <si>
    <t>IPP1668300</t>
  </si>
  <si>
    <t>Grau Zuriaga, Esther</t>
  </si>
  <si>
    <t>320d Auto.Touring</t>
  </si>
  <si>
    <t>Nebot Ascaso, Carlos</t>
  </si>
  <si>
    <t>IPA5684000</t>
  </si>
  <si>
    <t>Arce Molins, Lidia</t>
  </si>
  <si>
    <t>IPMK583100</t>
  </si>
  <si>
    <t>218d</t>
  </si>
  <si>
    <t>Cording, Tinus</t>
  </si>
  <si>
    <t>IPMK600600</t>
  </si>
  <si>
    <t>Tomas Cabot, Javier</t>
  </si>
  <si>
    <t>IPTR650001</t>
  </si>
  <si>
    <t>3573LVT</t>
  </si>
  <si>
    <t>Flores Dorado, Julian</t>
  </si>
  <si>
    <t>Velasco Coca, Antonio</t>
  </si>
  <si>
    <t>IPTR610001</t>
  </si>
  <si>
    <t>Montero Diaz, Miguel Angel</t>
  </si>
  <si>
    <t>IPMK581400</t>
  </si>
  <si>
    <t>4841LXS</t>
  </si>
  <si>
    <t>218d Gran Tourer</t>
  </si>
  <si>
    <t>Wiebeler, Frank</t>
  </si>
  <si>
    <t>5254LZJ</t>
  </si>
  <si>
    <t>Tejada Rosales, Eva Mª</t>
  </si>
  <si>
    <t>IPZF608300</t>
  </si>
  <si>
    <t>Padilla Romero, Juan Antonio</t>
  </si>
  <si>
    <t>IPZF610002</t>
  </si>
  <si>
    <t>6814LTV</t>
  </si>
  <si>
    <t>Renault</t>
  </si>
  <si>
    <t>Express E-tech 2 plazas</t>
  </si>
  <si>
    <t>IPA5671306</t>
  </si>
  <si>
    <t>Jaramillo Sanchez, David</t>
  </si>
  <si>
    <t>IPA5670800</t>
  </si>
  <si>
    <t>Salas Puyuelo, Ana Belen</t>
  </si>
  <si>
    <t>IPP1641002</t>
  </si>
  <si>
    <t>Ferrer Jara, Noemi</t>
  </si>
  <si>
    <t>Firenze, Andrea</t>
  </si>
  <si>
    <t>D</t>
  </si>
  <si>
    <t>IPTR670006</t>
  </si>
  <si>
    <t>Pitarch Guardiola, Felipe Santiago</t>
  </si>
  <si>
    <t>Conejos Guillen, Eduard</t>
  </si>
  <si>
    <t>IPZ1607305</t>
  </si>
  <si>
    <t>7506LZJ</t>
  </si>
  <si>
    <t>Bellosta Barriuso, Ramon-Vicente</t>
  </si>
  <si>
    <t>IPA5670809</t>
  </si>
  <si>
    <t>Sanchez de Jong, Alexandre</t>
  </si>
  <si>
    <t>Sorolla Adell, Jose Luis</t>
  </si>
  <si>
    <t>Costa Trachsel, Monica</t>
  </si>
  <si>
    <t>IPTR670004</t>
  </si>
  <si>
    <t>320d Auto Touring</t>
  </si>
  <si>
    <t>Garcia Martinez, Joan Miquel</t>
  </si>
  <si>
    <t>Dolfini, Giorgio</t>
  </si>
  <si>
    <t>Perolada Boronat, Maria Cinta</t>
  </si>
  <si>
    <t>IPP1645001</t>
  </si>
  <si>
    <t>9784MBV</t>
  </si>
  <si>
    <t>28/04/2023</t>
  </si>
  <si>
    <t>06/04/2023</t>
  </si>
  <si>
    <t>3720MGB</t>
  </si>
  <si>
    <t>6466MGB</t>
  </si>
  <si>
    <t>Serie 2 Active Tourer</t>
  </si>
  <si>
    <t>6472MGB</t>
  </si>
  <si>
    <t>6477MGB</t>
  </si>
  <si>
    <t>6482MGB</t>
  </si>
  <si>
    <t>6487MGB</t>
  </si>
  <si>
    <t>02/06/2023</t>
  </si>
  <si>
    <t>1067MGF</t>
  </si>
  <si>
    <t>5733MGH</t>
  </si>
  <si>
    <t>03/07/2023</t>
  </si>
  <si>
    <t>3002MGX</t>
  </si>
  <si>
    <t>3424MHL</t>
  </si>
  <si>
    <t>5994MHC</t>
  </si>
  <si>
    <t>Serie 4</t>
  </si>
  <si>
    <t>420d Gran Coupé</t>
  </si>
  <si>
    <t>03/08/2023</t>
  </si>
  <si>
    <t>7931MHL</t>
  </si>
  <si>
    <t>05/09/2023</t>
  </si>
  <si>
    <t>06/10/2023</t>
  </si>
  <si>
    <t>Usuario: Centro Coste</t>
  </si>
  <si>
    <t>Contrato: F.Inicio Contrato</t>
  </si>
  <si>
    <t>Contrato: F.Fin Contrato</t>
  </si>
  <si>
    <t>8066MKH</t>
  </si>
  <si>
    <t>03/11/2023</t>
  </si>
  <si>
    <t>07/12/2023</t>
  </si>
  <si>
    <t>Iglesias Gonzalez, Alvaro</t>
  </si>
  <si>
    <t>03/01/2024</t>
  </si>
  <si>
    <t>06/02/2024</t>
  </si>
  <si>
    <t>Cuota Total Mensual</t>
  </si>
  <si>
    <t>Rat, Anca Claudia</t>
  </si>
  <si>
    <t>26/02/2024</t>
  </si>
  <si>
    <t>0935MMX</t>
  </si>
  <si>
    <t>0939MMX</t>
  </si>
  <si>
    <t>26/03/2024</t>
  </si>
  <si>
    <t>3141MNK</t>
  </si>
  <si>
    <t>220i</t>
  </si>
  <si>
    <t>Gasolina 95</t>
  </si>
  <si>
    <t>Consumo Gasolina 95 l/100km</t>
  </si>
  <si>
    <t xml:space="preserve">Precio €/l Gasolina 95 </t>
  </si>
  <si>
    <t xml:space="preserve">Tarifa €/km Gasolina 95 </t>
  </si>
  <si>
    <t>2525MPF</t>
  </si>
  <si>
    <t>02/05/2024</t>
  </si>
  <si>
    <t>04/06/2024</t>
  </si>
  <si>
    <t>6108MPN</t>
  </si>
  <si>
    <t>7240MPM</t>
  </si>
  <si>
    <t>01/07/2024</t>
  </si>
  <si>
    <t>Ayvens Spain Mobility Solutions, S.A.U.</t>
  </si>
  <si>
    <t>06/08/2024</t>
  </si>
  <si>
    <t>12/09/2024</t>
  </si>
  <si>
    <t>01/10/2024</t>
  </si>
  <si>
    <t>01/11/2024</t>
  </si>
  <si>
    <t>4959MVH</t>
  </si>
  <si>
    <t>6208MVN</t>
  </si>
  <si>
    <t>6226MVN</t>
  </si>
  <si>
    <t>Fernandez Barral, Alejo Camilo</t>
  </si>
  <si>
    <t>29/11/2024</t>
  </si>
  <si>
    <t>2027MVV</t>
  </si>
  <si>
    <t>6192MVN</t>
  </si>
  <si>
    <t>09/01/2025</t>
  </si>
  <si>
    <t>28/01/2025</t>
  </si>
  <si>
    <t>3288MWP</t>
  </si>
  <si>
    <t>25/02/2025</t>
  </si>
  <si>
    <t>2533MYF</t>
  </si>
  <si>
    <t>320d Auto</t>
  </si>
  <si>
    <t>01/04/2025</t>
  </si>
  <si>
    <t>0000MYV</t>
  </si>
  <si>
    <t>Kangoo Express</t>
  </si>
  <si>
    <t>9419MYT</t>
  </si>
  <si>
    <t>9438MYT</t>
  </si>
  <si>
    <t>9452MYT</t>
  </si>
  <si>
    <t>9499MYT</t>
  </si>
  <si>
    <t>Count of Matrícula</t>
  </si>
  <si>
    <t>02/05/2025</t>
  </si>
  <si>
    <t>(blank)</t>
  </si>
  <si>
    <t>(All)</t>
  </si>
  <si>
    <t>(Multiple Items)</t>
  </si>
  <si>
    <t>Gasolina:</t>
  </si>
  <si>
    <t>Diesel</t>
  </si>
  <si>
    <t>02/06/2025</t>
  </si>
  <si>
    <t>30/06/2025</t>
  </si>
  <si>
    <t>01/08/2025</t>
  </si>
  <si>
    <t>IPA5670001</t>
  </si>
  <si>
    <t>Tarrago Moya, Francisco</t>
  </si>
  <si>
    <t>IPTR610004</t>
  </si>
  <si>
    <t>Baiges Olivan, German</t>
  </si>
  <si>
    <t>Beseran Sauras, Jordi Enric</t>
  </si>
  <si>
    <t>IPA5686000</t>
  </si>
  <si>
    <t>IPMK582300</t>
  </si>
  <si>
    <t>Veeneman, Barbara Fr</t>
  </si>
  <si>
    <t>IPPR643503</t>
  </si>
  <si>
    <t>Fayos Galan, Maria Vicenta</t>
  </si>
  <si>
    <t>Valldeperez Fors, Joaquin</t>
  </si>
  <si>
    <t>IPMK580100</t>
  </si>
  <si>
    <t>Bravo Molina, Pedro</t>
  </si>
  <si>
    <t>Geoportal</t>
  </si>
  <si>
    <t>02/09/2025</t>
  </si>
  <si>
    <t xml:space="preserve">IPMK581100 </t>
  </si>
  <si>
    <t xml:space="preserve">Comodin Energias, </t>
  </si>
  <si>
    <t>3/11/2025</t>
  </si>
  <si>
    <t>30/09/2025</t>
  </si>
  <si>
    <t>Mild Hybrid Gasolina: MHEV</t>
  </si>
  <si>
    <t>Mild Hybrid Diésel: MHEV</t>
  </si>
  <si>
    <t/>
  </si>
  <si>
    <t>2/12/2025</t>
  </si>
  <si>
    <t>3152NGP</t>
  </si>
  <si>
    <t>220I</t>
  </si>
  <si>
    <t>3165NGP</t>
  </si>
  <si>
    <t>5818NGX</t>
  </si>
  <si>
    <t>12/01/2026</t>
  </si>
  <si>
    <t>check</t>
  </si>
  <si>
    <t>30/01/2026</t>
  </si>
  <si>
    <t>5263NJK</t>
  </si>
  <si>
    <t>IPTR630031</t>
  </si>
  <si>
    <t>27/02/2026</t>
  </si>
  <si>
    <t>1/04/2026</t>
  </si>
  <si>
    <t>IP30613164</t>
  </si>
  <si>
    <t>IPTR610003</t>
  </si>
  <si>
    <t>9021NJT</t>
  </si>
  <si>
    <t>Kangoo</t>
  </si>
  <si>
    <t>L1 Start EV45 11kW</t>
  </si>
  <si>
    <t xml:space="preserve">Comodin Energias 2, </t>
  </si>
  <si>
    <t>IPTR660021</t>
  </si>
  <si>
    <t>29/04/2026</t>
  </si>
  <si>
    <t>1. Pedir a compras listado actualizado de la flota con Consumo l/100km</t>
  </si>
  <si>
    <t>1371NJV</t>
  </si>
  <si>
    <t>Usuario, Sin Asignar</t>
  </si>
  <si>
    <t>9673NLL</t>
  </si>
  <si>
    <t>30/05/2026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</si>
</sst>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#,##0.00\ &quot;€&quot;"/>
  </numFmts>
  <fonts count="17" x14ac:knownFonts="1"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12"/>
      <name val="Arial"/>
      <family val="2"/>
    </font>
    <font>
      <b/>
      <sz val="8"/>
      <name val="Arial"/>
      <family val="2"/>
    </font>
    <font>
      <b/>
      <i/>
      <sz val="14"/>
      <name val="Arial"/>
      <family val="2"/>
    </font>
    <font>
      <u/>
      <sz val="10"/>
      <color theme="10"/>
      <name val="Arial"/>
      <family val="2"/>
    </font>
    <font>
      <b/>
      <sz val="10"/>
      <color theme="0"/>
      <name val="Century Gothic"/>
      <family val="2"/>
    </font>
    <font>
      <sz val="10"/>
      <name val="Century Gothic"/>
      <family val="2"/>
    </font>
    <font>
      <b/>
      <u/>
      <sz val="10"/>
      <color theme="1"/>
      <name val="Arial"/>
      <family val="2"/>
    </font>
    <font>
      <sz val="10"/>
      <name val="Century Gothic"/>
      <family val="2"/>
    </font>
    <font>
      <sz val="10"/>
      <name val="Century Gothic"/>
      <family val="2"/>
    </font>
    <font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6" fillId="0" borderId="0"/>
    <xf numFmtId="0" fontId="10" fillId="0" borderId="0" applyNumberFormat="0" applyFill="0" applyBorder="0" applyAlignment="0" applyProtection="0"/>
    <xf numFmtId="0" fontId="12" fillId="0" borderId="0"/>
    <xf numFmtId="0" fontId="14" fillId="0" borderId="0"/>
    <xf numFmtId="0" fontId="15" fillId="0" borderId="0"/>
    <xf numFmtId="0" fontId="16" fillId="0" borderId="0"/>
  </cellStyleXfs>
  <cellXfs count="71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2" applyFill="1" applyBorder="1" applyAlignment="1" applyProtection="1"/>
    <xf numFmtId="0" fontId="1" fillId="0" borderId="0" xfId="1" applyAlignment="1">
      <alignment horizontal="left" indent="2"/>
    </xf>
    <xf numFmtId="0" fontId="1" fillId="0" borderId="0" xfId="1" applyAlignment="1">
      <alignment vertical="center"/>
    </xf>
    <xf numFmtId="0" fontId="4" fillId="0" borderId="0" xfId="3"/>
    <xf numFmtId="0" fontId="5" fillId="0" borderId="0" xfId="3" applyFont="1" applyAlignment="1">
      <alignment horizontal="left"/>
    </xf>
    <xf numFmtId="0" fontId="4" fillId="0" borderId="0" xfId="3" applyAlignment="1">
      <alignment horizontal="left"/>
    </xf>
    <xf numFmtId="0" fontId="4" fillId="0" borderId="0" xfId="3" applyAlignment="1">
      <alignment horizontal="center"/>
    </xf>
    <xf numFmtId="0" fontId="4" fillId="0" borderId="0" xfId="3" applyAlignment="1">
      <alignment horizontal="right"/>
    </xf>
    <xf numFmtId="0" fontId="7" fillId="0" borderId="0" xfId="1" applyFont="1"/>
    <xf numFmtId="0" fontId="8" fillId="0" borderId="4" xfId="1" applyFont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4" borderId="5" xfId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5" borderId="4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2" borderId="0" xfId="1" applyFont="1" applyFill="1" applyAlignment="1">
      <alignment horizontal="center" vertical="center" wrapText="1"/>
    </xf>
    <xf numFmtId="0" fontId="8" fillId="3" borderId="0" xfId="1" applyFont="1" applyFill="1" applyAlignment="1">
      <alignment horizontal="center" vertical="center" wrapText="1"/>
    </xf>
    <xf numFmtId="0" fontId="8" fillId="4" borderId="0" xfId="1" applyFont="1" applyFill="1" applyAlignment="1">
      <alignment horizontal="center" vertical="center" wrapText="1"/>
    </xf>
    <xf numFmtId="0" fontId="1" fillId="5" borderId="6" xfId="1" applyFill="1" applyBorder="1"/>
    <xf numFmtId="17" fontId="1" fillId="0" borderId="6" xfId="1" quotePrefix="1" applyNumberFormat="1" applyBorder="1" applyAlignment="1">
      <alignment horizontal="center"/>
    </xf>
    <xf numFmtId="164" fontId="1" fillId="2" borderId="0" xfId="1" applyNumberFormat="1" applyFill="1" applyAlignment="1">
      <alignment horizontal="center"/>
    </xf>
    <xf numFmtId="164" fontId="1" fillId="3" borderId="0" xfId="1" applyNumberFormat="1" applyFill="1" applyAlignment="1">
      <alignment horizontal="center"/>
    </xf>
    <xf numFmtId="164" fontId="1" fillId="4" borderId="0" xfId="1" applyNumberFormat="1" applyFill="1" applyAlignment="1">
      <alignment horizontal="center"/>
    </xf>
    <xf numFmtId="165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/>
    </xf>
    <xf numFmtId="164" fontId="1" fillId="5" borderId="6" xfId="1" applyNumberFormat="1" applyFill="1" applyBorder="1" applyAlignment="1">
      <alignment horizontal="center"/>
    </xf>
    <xf numFmtId="17" fontId="1" fillId="0" borderId="0" xfId="1" quotePrefix="1" applyNumberFormat="1" applyAlignment="1">
      <alignment horizontal="center"/>
    </xf>
    <xf numFmtId="164" fontId="1" fillId="6" borderId="6" xfId="1" applyNumberFormat="1" applyFill="1" applyBorder="1" applyAlignment="1">
      <alignment horizontal="center"/>
    </xf>
    <xf numFmtId="165" fontId="1" fillId="0" borderId="0" xfId="1" applyNumberFormat="1"/>
    <xf numFmtId="2" fontId="1" fillId="0" borderId="0" xfId="1" applyNumberFormat="1"/>
    <xf numFmtId="0" fontId="1" fillId="0" borderId="0" xfId="1" applyAlignment="1">
      <alignment horizontal="center"/>
    </xf>
    <xf numFmtId="0" fontId="9" fillId="0" borderId="0" xfId="1" applyFont="1"/>
    <xf numFmtId="0" fontId="0" fillId="0" borderId="0" xfId="0" applyAlignment="1">
      <alignment horizontal="center"/>
    </xf>
    <xf numFmtId="164" fontId="1" fillId="0" borderId="0" xfId="1" applyNumberFormat="1"/>
    <xf numFmtId="0" fontId="0" fillId="0" borderId="1" xfId="0" applyBorder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2" fontId="0" fillId="0" borderId="3" xfId="0" applyNumberFormat="1" applyBorder="1"/>
    <xf numFmtId="1" fontId="0" fillId="0" borderId="3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  <xf numFmtId="165" fontId="0" fillId="0" borderId="0" xfId="0" applyNumberFormat="1" applyAlignment="1">
      <alignment horizontal="center"/>
    </xf>
    <xf numFmtId="0" fontId="10" fillId="0" borderId="0" xfId="5"/>
    <xf numFmtId="2" fontId="0" fillId="0" borderId="0" xfId="0" applyNumberFormat="1" applyAlignment="1">
      <alignment horizontal="center"/>
    </xf>
    <xf numFmtId="0" fontId="6" fillId="0" borderId="0" xfId="0" applyFont="1"/>
    <xf numFmtId="0" fontId="6" fillId="0" borderId="7" xfId="0" applyFont="1" applyBorder="1"/>
    <xf numFmtId="0" fontId="6" fillId="0" borderId="3" xfId="0" applyFont="1" applyBorder="1"/>
    <xf numFmtId="0" fontId="6" fillId="0" borderId="8" xfId="0" applyFont="1" applyBorder="1"/>
    <xf numFmtId="166" fontId="0" fillId="0" borderId="0" xfId="0" applyNumberFormat="1"/>
    <xf numFmtId="4" fontId="0" fillId="7" borderId="0" xfId="0" applyNumberFormat="1" applyFill="1"/>
    <xf numFmtId="164" fontId="0" fillId="0" borderId="0" xfId="0" applyNumberFormat="1"/>
    <xf numFmtId="22" fontId="0" fillId="0" borderId="0" xfId="0" applyNumberFormat="1"/>
    <xf numFmtId="0" fontId="13" fillId="0" borderId="0" xfId="0" applyFont="1"/>
    <xf numFmtId="0" fontId="6" fillId="0" borderId="0" xfId="8" applyFont="1"/>
    <xf numFmtId="166" fontId="6" fillId="0" borderId="0" xfId="8" applyNumberFormat="1" applyFont="1"/>
    <xf numFmtId="22" fontId="6" fillId="0" borderId="0" xfId="8" applyNumberFormat="1" applyFont="1"/>
    <xf numFmtId="0" fontId="11" fillId="2" borderId="0" xfId="0" applyFont="1" applyFill="1"/>
    <xf numFmtId="166" fontId="11" fillId="2" borderId="0" xfId="0" applyNumberFormat="1" applyFont="1" applyFill="1"/>
    <xf numFmtId="22" fontId="6" fillId="0" borderId="0" xfId="0" applyNumberFormat="1" applyFont="1"/>
    <xf numFmtId="166" fontId="6" fillId="0" borderId="0" xfId="0" applyNumberFormat="1" applyFont="1"/>
    <xf numFmtId="165" fontId="6" fillId="0" borderId="0" xfId="0" applyNumberFormat="1" applyFont="1"/>
  </cellXfs>
  <cellStyles count="10">
    <cellStyle name="Hyperlink" xfId="5" builtinId="8"/>
    <cellStyle name="Hyperlink 2" xfId="2" xr:uid="{74BFBC55-99ED-4826-8815-CB6B41605FA8}"/>
    <cellStyle name="Normal" xfId="0" builtinId="0"/>
    <cellStyle name="Normal 2" xfId="1" xr:uid="{1A7477CF-2C5A-482F-BE11-3A596212DEC1}"/>
    <cellStyle name="Normal 3" xfId="3" xr:uid="{2D4B7339-5D03-41C4-89D2-47E5A09D21C4}"/>
    <cellStyle name="Normal 4" xfId="6" xr:uid="{9B3AFD7F-01A0-4A8B-8075-3CD02FE65A5A}"/>
    <cellStyle name="Normal 5" xfId="4" xr:uid="{9BAB759B-B369-43F1-B780-E73C4A2FFB32}"/>
    <cellStyle name="Normal 6" xfId="7" xr:uid="{571C67E4-2FD2-4317-A787-B894AF44790A}"/>
    <cellStyle name="Normal 7" xfId="8" xr:uid="{5078E34B-A000-4EC8-B6B2-ED9830DB63D6}"/>
    <cellStyle name="Normal 8" xfId="9" xr:uid="{D17FBE71-E4EB-4CF4-9A1C-64EDF359D3B6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16</xdr:col>
      <xdr:colOff>19050</xdr:colOff>
      <xdr:row>58</xdr:row>
      <xdr:rowOff>133350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35BB1BE-3C82-418C-B876-0BCDDEA1D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2857500"/>
          <a:ext cx="12020550" cy="648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12</xdr:row>
      <xdr:rowOff>133350</xdr:rowOff>
    </xdr:from>
    <xdr:to>
      <xdr:col>11</xdr:col>
      <xdr:colOff>450850</xdr:colOff>
      <xdr:row>25</xdr:row>
      <xdr:rowOff>82550</xdr:rowOff>
    </xdr:to>
    <xdr:pic>
      <xdr:nvPicPr>
        <xdr:cNvPr id="2" name="Picture 5" descr="image001">
          <a:extLst>
            <a:ext uri="{FF2B5EF4-FFF2-40B4-BE49-F238E27FC236}">
              <a16:creationId xmlns:a16="http://schemas.microsoft.com/office/drawing/2014/main" id="{B123DAA7-D232-4E45-A809-82A364377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2495550"/>
          <a:ext cx="8413750" cy="201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24</xdr:row>
      <xdr:rowOff>133350</xdr:rowOff>
    </xdr:from>
    <xdr:to>
      <xdr:col>11</xdr:col>
      <xdr:colOff>209550</xdr:colOff>
      <xdr:row>28</xdr:row>
      <xdr:rowOff>152400</xdr:rowOff>
    </xdr:to>
    <xdr:pic>
      <xdr:nvPicPr>
        <xdr:cNvPr id="3" name="Picture 6" descr="image002">
          <a:extLst>
            <a:ext uri="{FF2B5EF4-FFF2-40B4-BE49-F238E27FC236}">
              <a16:creationId xmlns:a16="http://schemas.microsoft.com/office/drawing/2014/main" id="{BC51A648-D932-4972-B39B-879D2C46A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0550"/>
          <a:ext cx="8204200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0</xdr:colOff>
      <xdr:row>86</xdr:row>
      <xdr:rowOff>0</xdr:rowOff>
    </xdr:from>
    <xdr:to>
      <xdr:col>32</xdr:col>
      <xdr:colOff>295418</xdr:colOff>
      <xdr:row>90</xdr:row>
      <xdr:rowOff>89858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C74B78-A570-4B14-873A-50BA88F8F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20929" y="17925143"/>
          <a:ext cx="11589346" cy="99700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Jaramillo Sanchez" refreshedDate="46141.420837152778" createdVersion="8" refreshedVersion="8" minRefreshableVersion="3" recordCount="49" xr:uid="{3D65B09A-C3EF-4817-ADDD-3CF1FD3CCEFC}">
  <cacheSource type="worksheet">
    <worksheetSource ref="B10:Q59" sheet="flota"/>
  </cacheSource>
  <cacheFields count="16">
    <cacheField name="Matrícula" numFmtId="0">
      <sharedItems containsBlank="1"/>
    </cacheField>
    <cacheField name="Propietario" numFmtId="0">
      <sharedItems containsBlank="1" count="3">
        <s v="Ayvens Spain Mobility Solutions, S.A.U."/>
        <m/>
        <s v="Europcar Traxall" u="1"/>
      </sharedItems>
    </cacheField>
    <cacheField name="Marca" numFmtId="0">
      <sharedItems containsBlank="1"/>
    </cacheField>
    <cacheField name="Modelo" numFmtId="0">
      <sharedItems containsBlank="1" count="10">
        <s v="Serie 2 Active Tourer"/>
        <s v="Serie 3"/>
        <s v="Serie 2"/>
        <s v="Serie 4"/>
        <s v="Kangoo Express"/>
        <s v="Kangoo"/>
        <m/>
        <s v="Korando" u="1"/>
        <s v="Serie 2 Gran Tourer" u="1"/>
        <s v="Passat" u="1"/>
      </sharedItems>
    </cacheField>
    <cacheField name="Versión" numFmtId="0">
      <sharedItems containsBlank="1"/>
    </cacheField>
    <cacheField name="Usuario: Nombre Completo" numFmtId="0">
      <sharedItems containsBlank="1"/>
    </cacheField>
    <cacheField name="Usuario: Nivel" numFmtId="0">
      <sharedItems containsBlank="1"/>
    </cacheField>
    <cacheField name="Usuario: Centro Coste" numFmtId="0">
      <sharedItems containsBlank="1"/>
    </cacheField>
    <cacheField name="Contrato: F.Inicio Contrato" numFmtId="0">
      <sharedItems containsNonDate="0" containsDate="1" containsString="0" containsBlank="1" minDate="2021-11-18T00:00:00" maxDate="2026-03-27T00:00:00"/>
    </cacheField>
    <cacheField name="Contrato: F.Fin Contrato" numFmtId="22">
      <sharedItems containsNonDate="0" containsDate="1" containsString="0" containsBlank="1" minDate="2025-11-30T00:00:00" maxDate="2032-02-01T00:00:00"/>
    </cacheField>
    <cacheField name="Consumo Fabricante" numFmtId="0">
      <sharedItems containsString="0" containsBlank="1" containsNumber="1" minValue="0" maxValue="5.8"/>
    </cacheField>
    <cacheField name="Tipo Combustible" numFmtId="0">
      <sharedItems containsBlank="1" count="8">
        <s v="Mild Hybrid Gasolina: MHEV"/>
        <s v="Mild Hybrid Diésel: MHEV"/>
        <s v="Diésel"/>
        <s v="Eléctrico Plug-In: BEV"/>
        <m/>
        <s v="Desconocido" u="1"/>
        <s v="Mild Hybrid Diésel" u="1"/>
        <s v="Mild Hybrid Gasolina" u="1"/>
      </sharedItems>
    </cacheField>
    <cacheField name="Contrato: Meses Contratados" numFmtId="0">
      <sharedItems containsString="0" containsBlank="1" containsNumber="1" containsInteger="1" minValue="48" maxValue="72"/>
    </cacheField>
    <cacheField name="Contrato: Km Contratados" numFmtId="0">
      <sharedItems containsString="0" containsBlank="1" containsNumber="1" containsInteger="1" minValue="40000" maxValue="120000"/>
    </cacheField>
    <cacheField name="Cuota Total Mensual" numFmtId="0">
      <sharedItems containsString="0" containsBlank="1" containsNumber="1" minValue="498.69" maxValue="852.68"/>
    </cacheField>
    <cacheField name="Cuota Total Mensual2" numFmtId="166">
      <sharedItems containsString="0" containsBlank="1" containsNumber="1" minValue="498.69" maxValue="852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0000MYV"/>
    <x v="0"/>
    <s v="BMW"/>
    <x v="0"/>
    <s v="220i"/>
    <s v="Serra Castello, Jose"/>
    <s v="B"/>
    <s v="IPA5670001"/>
    <d v="2025-03-10T00:00:00"/>
    <d v="2029-03-31T00:00:00"/>
    <n v="5.8"/>
    <x v="0"/>
    <n v="48"/>
    <n v="70000"/>
    <n v="649.97"/>
    <n v="649.97"/>
  </r>
  <r>
    <s v="0935MMX"/>
    <x v="0"/>
    <s v="BMW"/>
    <x v="1"/>
    <s v="320d Auto Touring"/>
    <s v="Iglesias Gonzalez, Alvaro"/>
    <s v="C"/>
    <s v="IPP1645001"/>
    <d v="2024-02-01T00:00:00"/>
    <d v="2028-02-29T00:00:00"/>
    <n v="4.2"/>
    <x v="1"/>
    <n v="48"/>
    <n v="100000"/>
    <n v="701.32"/>
    <n v="701.32"/>
  </r>
  <r>
    <s v="0939MMX"/>
    <x v="0"/>
    <s v="BMW"/>
    <x v="1"/>
    <s v="320d Auto Touring"/>
    <s v="Robles Pujals, Jose Maria"/>
    <s v="C"/>
    <s v="IPP1668300"/>
    <d v="2024-01-29T00:00:00"/>
    <d v="2028-01-31T00:00:00"/>
    <n v="4.2"/>
    <x v="1"/>
    <n v="48"/>
    <n v="100000"/>
    <n v="702.91"/>
    <n v="702.91"/>
  </r>
  <r>
    <s v="1067MGF"/>
    <x v="0"/>
    <s v="BMW"/>
    <x v="1"/>
    <s v="320d Auto Touring"/>
    <s v="Perolada Boronat, Maria Cinta"/>
    <s v="C"/>
    <s v="IPTR610001"/>
    <d v="2023-04-24T00:00:00"/>
    <d v="2027-04-30T00:00:00"/>
    <n v="4.2"/>
    <x v="1"/>
    <n v="48"/>
    <n v="100000"/>
    <n v="717.08"/>
    <n v="717.08"/>
  </r>
  <r>
    <s v="1371NJV"/>
    <x v="0"/>
    <s v="BMW"/>
    <x v="0"/>
    <s v="220i"/>
    <s v="Arce Molins, Lidia"/>
    <s v="A"/>
    <s v="IPMK583100"/>
    <d v="2026-03-13T00:00:00"/>
    <d v="2030-03-31T00:00:00"/>
    <n v="5.6"/>
    <x v="0"/>
    <n v="48"/>
    <n v="40000"/>
    <n v="663.35"/>
    <n v="710.64"/>
  </r>
  <r>
    <s v="2027MVV"/>
    <x v="0"/>
    <s v="BMW"/>
    <x v="1"/>
    <s v="320d Auto.Touring"/>
    <s v="Padilla Romero, Juan Antonio"/>
    <s v="B"/>
    <s v="IP30613164"/>
    <d v="2024-10-30T00:00:00"/>
    <d v="2028-10-31T00:00:00"/>
    <n v="4.2"/>
    <x v="1"/>
    <n v="48"/>
    <n v="80000"/>
    <n v="710.64"/>
    <n v="629.5"/>
  </r>
  <r>
    <s v="2525MPF"/>
    <x v="0"/>
    <s v="BMW"/>
    <x v="0"/>
    <s v="220i"/>
    <s v="Tarrago Moya, Francisco"/>
    <s v="B"/>
    <s v="IPA5671306"/>
    <d v="2024-04-02T00:00:00"/>
    <d v="2028-04-30T00:00:00"/>
    <n v="5.8"/>
    <x v="0"/>
    <n v="48"/>
    <n v="100000"/>
    <n v="629.5"/>
    <n v="712.11"/>
  </r>
  <r>
    <s v="2533MYF"/>
    <x v="0"/>
    <s v="BMW"/>
    <x v="1"/>
    <s v="320d Auto"/>
    <s v="Codina Jornet, Joan"/>
    <s v="C"/>
    <s v="IPTR610004"/>
    <d v="2025-02-11T00:00:00"/>
    <d v="2029-02-28T00:00:00"/>
    <n v="5"/>
    <x v="1"/>
    <n v="48"/>
    <n v="80000"/>
    <n v="712.11"/>
    <n v="718.4"/>
  </r>
  <r>
    <s v="3002MGX"/>
    <x v="0"/>
    <s v="BMW"/>
    <x v="1"/>
    <s v="320d Auto Touring"/>
    <s v="Baiges Olivan, German"/>
    <s v="C"/>
    <s v="IPZF610002"/>
    <d v="2023-05-24T00:00:00"/>
    <d v="2027-05-31T00:00:00"/>
    <n v="4.2"/>
    <x v="1"/>
    <n v="48"/>
    <n v="100000"/>
    <n v="718.4"/>
    <n v="629.5"/>
  </r>
  <r>
    <s v="3141MNK"/>
    <x v="0"/>
    <s v="BMW"/>
    <x v="0"/>
    <s v="220i"/>
    <s v="Beseran Sauras, Jordi Enric"/>
    <s v="A"/>
    <s v="IPMK581100"/>
    <d v="2024-02-28T00:00:00"/>
    <d v="2028-02-29T00:00:00"/>
    <n v="5.8"/>
    <x v="0"/>
    <n v="48"/>
    <n v="100000"/>
    <n v="629.5"/>
    <n v="644.23"/>
  </r>
  <r>
    <s v="3152NGP"/>
    <x v="0"/>
    <s v="BMW"/>
    <x v="0"/>
    <s v="220i"/>
    <s v="Usuario, Sin Asignar"/>
    <s v="A"/>
    <s v="IPMK581400"/>
    <d v="2025-11-17T00:00:00"/>
    <d v="2029-11-30T00:00:00"/>
    <n v="5.8"/>
    <x v="0"/>
    <n v="48"/>
    <n v="80000"/>
    <n v="644.23"/>
    <n v="649.78"/>
  </r>
  <r>
    <s v="3165NGP"/>
    <x v="0"/>
    <s v="BMW"/>
    <x v="0"/>
    <s v="220i"/>
    <s v="Velasco Coca, Antonio"/>
    <s v="B"/>
    <s v="IPTR610001"/>
    <d v="2025-10-22T00:00:00"/>
    <d v="2029-10-31T00:00:00"/>
    <n v="5.8"/>
    <x v="0"/>
    <n v="48"/>
    <n v="100000"/>
    <n v="649.78"/>
    <n v="731.71"/>
  </r>
  <r>
    <s v="3288MWP"/>
    <x v="0"/>
    <s v="BMW"/>
    <x v="0"/>
    <s v="220i"/>
    <s v="Conejos Guillen, Eduard"/>
    <s v="B"/>
    <s v="IPZ1607305"/>
    <d v="2024-12-05T00:00:00"/>
    <d v="2028-12-31T00:00:00"/>
    <n v="5.8"/>
    <x v="0"/>
    <n v="48"/>
    <n v="120000"/>
    <n v="731.71"/>
    <n v="576.84"/>
  </r>
  <r>
    <s v="3424MHL"/>
    <x v="0"/>
    <s v="BMW"/>
    <x v="0"/>
    <s v="218d"/>
    <s v="Simon Guerrero, Fernando"/>
    <s v="A"/>
    <s v="IPZF608320"/>
    <d v="2023-06-15T00:00:00"/>
    <d v="2027-06-30T00:00:00"/>
    <n v="4.8"/>
    <x v="2"/>
    <n v="48"/>
    <n v="100000"/>
    <n v="576.84"/>
    <n v="511.4"/>
  </r>
  <r>
    <s v="3573LVT"/>
    <x v="0"/>
    <s v="BMW"/>
    <x v="2"/>
    <s v="218d Gran Tourer"/>
    <s v="Arce Molins, Lidia"/>
    <s v="A"/>
    <s v="IPMK583100"/>
    <d v="2022-01-10T00:00:00"/>
    <d v="2026-01-31T00:00:00"/>
    <n v="4.3"/>
    <x v="2"/>
    <n v="48"/>
    <n v="100000"/>
    <n v="511.4"/>
    <n v="717.08"/>
  </r>
  <r>
    <s v="3720MGB"/>
    <x v="0"/>
    <s v="BMW"/>
    <x v="1"/>
    <s v="320d Auto.Touring"/>
    <s v="Ferre Vallverdu, Lluis"/>
    <s v="C"/>
    <s v="IPTR670006"/>
    <d v="2023-04-14T00:00:00"/>
    <d v="2027-04-30T00:00:00"/>
    <n v="5.0999999999999996"/>
    <x v="1"/>
    <n v="48"/>
    <n v="100000"/>
    <n v="717.08"/>
    <n v="570.25"/>
  </r>
  <r>
    <s v="4841LXS"/>
    <x v="0"/>
    <s v="BMW"/>
    <x v="2"/>
    <s v="218d Gran Tourer"/>
    <s v="Cording, Tinus"/>
    <s v="A"/>
    <s v="IPMK600600"/>
    <d v="2022-05-06T00:00:00"/>
    <d v="2026-05-31T00:00:00"/>
    <n v="5.0999999999999996"/>
    <x v="2"/>
    <n v="48"/>
    <n v="100000"/>
    <n v="570.25"/>
    <n v="742.59"/>
  </r>
  <r>
    <s v="4959MVH"/>
    <x v="0"/>
    <s v="BMW"/>
    <x v="1"/>
    <s v="320d Auto.Touring"/>
    <s v="Nebot Ascaso, Carlos"/>
    <s v="C"/>
    <s v="IPA5686000"/>
    <d v="2024-10-07T00:00:00"/>
    <d v="2028-10-31T00:00:00"/>
    <n v="4.2"/>
    <x v="1"/>
    <n v="48"/>
    <n v="100000"/>
    <n v="742.59"/>
    <n v="656.7"/>
  </r>
  <r>
    <s v="5254LZJ"/>
    <x v="0"/>
    <s v="BMW"/>
    <x v="1"/>
    <s v="320d Auto.Touring"/>
    <s v="Tejada Rosales, Eva Mª"/>
    <s v="B"/>
    <s v="IPZF608300"/>
    <d v="2022-08-03T00:00:00"/>
    <d v="2026-08-31T00:00:00"/>
    <n v="5.0999999999999996"/>
    <x v="1"/>
    <n v="48"/>
    <n v="100000"/>
    <n v="656.7"/>
    <n v="723.93"/>
  </r>
  <r>
    <s v="5263NJK"/>
    <x v="0"/>
    <s v="BMW"/>
    <x v="1"/>
    <s v="320d Auto.Touring"/>
    <s v="Tomas Cabot, Javier"/>
    <s v="B"/>
    <s v="IPTR630031"/>
    <d v="2026-01-05T00:00:00"/>
    <d v="2030-01-31T00:00:00"/>
    <n v="5.2"/>
    <x v="1"/>
    <n v="48"/>
    <n v="40000"/>
    <n v="723.93"/>
    <n v="585.45000000000005"/>
  </r>
  <r>
    <s v="5733MGH"/>
    <x v="0"/>
    <s v="BMW"/>
    <x v="0"/>
    <s v="218d"/>
    <s v="Almato Guiteras, Maria"/>
    <s v="A"/>
    <s v="IPMK581100"/>
    <d v="2023-04-28T00:00:00"/>
    <d v="2027-04-30T00:00:00"/>
    <n v="4.8"/>
    <x v="2"/>
    <n v="48"/>
    <n v="100000"/>
    <n v="585.45000000000005"/>
    <n v="685.21"/>
  </r>
  <r>
    <s v="5818NGX"/>
    <x v="0"/>
    <s v="BMW"/>
    <x v="0"/>
    <s v="220i"/>
    <s v="Fayos Galan, Maria Vicenta"/>
    <s v="B"/>
    <s v="IPTR650001"/>
    <d v="2025-11-03T00:00:00"/>
    <d v="2029-11-30T00:00:00"/>
    <n v="5.8"/>
    <x v="0"/>
    <n v="48"/>
    <n v="120000"/>
    <n v="685.21"/>
    <n v="852.68"/>
  </r>
  <r>
    <s v="5994MHC"/>
    <x v="0"/>
    <s v="BMW"/>
    <x v="3"/>
    <s v="420d Gran Coupé"/>
    <s v="Firenze, Andrea"/>
    <s v="D"/>
    <s v="IPTR670006"/>
    <d v="2023-06-02T00:00:00"/>
    <d v="2027-06-30T00:00:00"/>
    <n v="4.8"/>
    <x v="1"/>
    <n v="48"/>
    <n v="100000"/>
    <n v="852.68"/>
    <n v="599.17999999999995"/>
  </r>
  <r>
    <s v="6108MPN"/>
    <x v="0"/>
    <s v="BMW"/>
    <x v="0"/>
    <s v="220i"/>
    <s v="Ferrer Jara, Noemi"/>
    <s v="A"/>
    <s v="IPMK583100"/>
    <d v="2024-04-12T00:00:00"/>
    <d v="2028-04-30T00:00:00"/>
    <n v="5.8"/>
    <x v="0"/>
    <n v="48"/>
    <n v="60000"/>
    <n v="599.17999999999995"/>
    <n v="599.17999999999995"/>
  </r>
  <r>
    <s v="6192MVN"/>
    <x v="0"/>
    <s v="BMW"/>
    <x v="0"/>
    <s v="220i"/>
    <s v="Grau Zuriaga, Esther"/>
    <s v="A"/>
    <s v="IPMK581100"/>
    <d v="2024-10-22T00:00:00"/>
    <d v="2028-10-31T00:00:00"/>
    <n v="5.8"/>
    <x v="0"/>
    <n v="48"/>
    <n v="60000"/>
    <n v="599.17999999999995"/>
    <n v="582.33000000000004"/>
  </r>
  <r>
    <s v="6208MVN"/>
    <x v="0"/>
    <s v="BMW"/>
    <x v="0"/>
    <s v="220i"/>
    <s v="Jaramillo Sanchez, David"/>
    <s v="B"/>
    <s v="IPA5670800"/>
    <d v="2024-10-15T00:00:00"/>
    <d v="2028-10-31T00:00:00"/>
    <n v="5.8"/>
    <x v="0"/>
    <n v="48"/>
    <n v="40000"/>
    <n v="582.33000000000004"/>
    <n v="582.33000000000004"/>
  </r>
  <r>
    <s v="6226MVN"/>
    <x v="0"/>
    <s v="BMW"/>
    <x v="0"/>
    <s v="220i"/>
    <s v="Sorolla Adell, Jose Luis"/>
    <s v="B"/>
    <s v="IPTR610003"/>
    <d v="2024-10-16T00:00:00"/>
    <d v="2028-10-31T00:00:00"/>
    <n v="5.8"/>
    <x v="0"/>
    <n v="48"/>
    <n v="40000"/>
    <n v="582.33000000000004"/>
    <n v="576.84"/>
  </r>
  <r>
    <s v="6466MGB"/>
    <x v="0"/>
    <s v="BMW"/>
    <x v="0"/>
    <s v="218d"/>
    <s v="Montero Diaz, Miguel Angel"/>
    <s v="A"/>
    <s v="IPMK581400"/>
    <d v="2023-04-14T00:00:00"/>
    <d v="2027-04-30T00:00:00"/>
    <n v="4.8"/>
    <x v="2"/>
    <n v="48"/>
    <n v="100000"/>
    <n v="576.84"/>
    <n v="576.84"/>
  </r>
  <r>
    <s v="6472MGB"/>
    <x v="0"/>
    <s v="BMW"/>
    <x v="0"/>
    <s v="218d"/>
    <s v="Flores Dorado, Julian"/>
    <s v="A"/>
    <s v="IPMK581100"/>
    <d v="2023-04-14T00:00:00"/>
    <d v="2027-04-30T00:00:00"/>
    <n v="4.8"/>
    <x v="2"/>
    <n v="48"/>
    <n v="100000"/>
    <n v="576.84"/>
    <n v="576.84"/>
  </r>
  <r>
    <s v="6477MGB"/>
    <x v="0"/>
    <s v="BMW"/>
    <x v="0"/>
    <s v="218d"/>
    <s v="Wiebeler, Frank"/>
    <s v="A"/>
    <s v="IPMK582300"/>
    <d v="2023-04-14T00:00:00"/>
    <d v="2027-04-30T00:00:00"/>
    <n v="4.8"/>
    <x v="2"/>
    <n v="48"/>
    <n v="100000"/>
    <n v="576.84"/>
    <n v="576.84"/>
  </r>
  <r>
    <s v="6482MGB"/>
    <x v="0"/>
    <s v="BMW"/>
    <x v="0"/>
    <s v="218d"/>
    <s v="Veeneman, Barbara Fr"/>
    <s v="A"/>
    <s v="IPMK581100 "/>
    <d v="2023-04-14T00:00:00"/>
    <d v="2027-04-30T00:00:00"/>
    <n v="4.8"/>
    <x v="2"/>
    <n v="48"/>
    <n v="100000"/>
    <n v="576.84"/>
    <n v="576.84"/>
  </r>
  <r>
    <s v="6487MGB"/>
    <x v="0"/>
    <s v="BMW"/>
    <x v="0"/>
    <s v="218d"/>
    <s v="Sanchez de Jong, Alexandre"/>
    <s v="C"/>
    <s v="IPA5684000"/>
    <d v="2023-04-14T00:00:00"/>
    <d v="2027-04-30T00:00:00"/>
    <n v="4.8"/>
    <x v="2"/>
    <n v="48"/>
    <n v="100000"/>
    <n v="576.84"/>
    <n v="498.69"/>
  </r>
  <r>
    <s v="6814LTV"/>
    <x v="0"/>
    <s v="Renault"/>
    <x v="4"/>
    <s v="Express E-tech 2 plazas"/>
    <s v="Comodin Energias, "/>
    <s v="B"/>
    <s v="IPTR631031"/>
    <d v="2021-11-18T00:00:00"/>
    <d v="2025-11-30T00:00:00"/>
    <n v="0"/>
    <x v="3"/>
    <n v="48"/>
    <n v="100000"/>
    <n v="498.69"/>
    <n v="582.33000000000004"/>
  </r>
  <r>
    <s v="7240MPM"/>
    <x v="0"/>
    <s v="BMW"/>
    <x v="0"/>
    <s v="220i"/>
    <s v="Pitarch Guardiola, Felipe Santiago"/>
    <s v="B"/>
    <s v="IPPR643503"/>
    <d v="2024-04-16T00:00:00"/>
    <d v="2028-04-30T00:00:00"/>
    <n v="5.8"/>
    <x v="0"/>
    <n v="48"/>
    <n v="40000"/>
    <n v="582.33000000000004"/>
    <n v="654.67999999999995"/>
  </r>
  <r>
    <s v="7506LZJ"/>
    <x v="0"/>
    <s v="BMW"/>
    <x v="1"/>
    <s v="320d Auto.Touring"/>
    <s v="Bellosta Barriuso, Ramon-Vicente"/>
    <s v="C"/>
    <s v="IPA5670809"/>
    <d v="2022-07-29T00:00:00"/>
    <d v="2026-07-31T00:00:00"/>
    <n v="5.0999999999999996"/>
    <x v="1"/>
    <n v="48"/>
    <n v="100000"/>
    <n v="654.67999999999995"/>
    <n v="576.84"/>
  </r>
  <r>
    <s v="7931MHL"/>
    <x v="0"/>
    <s v="BMW"/>
    <x v="0"/>
    <s v="218d"/>
    <s v="Fernandez Barral, Alejo Camilo"/>
    <s v="A"/>
    <s v="IPMK583100"/>
    <d v="2023-06-21T00:00:00"/>
    <d v="2027-06-30T00:00:00"/>
    <n v="4.8"/>
    <x v="2"/>
    <n v="48"/>
    <n v="100000"/>
    <n v="576.84"/>
    <n v="663.11"/>
  </r>
  <r>
    <s v="8066MKH"/>
    <x v="0"/>
    <s v="BMW"/>
    <x v="0"/>
    <s v="218d"/>
    <s v="Bravo Molina, Pedro"/>
    <s v="A"/>
    <s v="IPMK581100"/>
    <d v="2023-09-21T00:00:00"/>
    <d v="2027-09-30T00:00:00"/>
    <n v="4.8"/>
    <x v="2"/>
    <n v="48"/>
    <n v="100000"/>
    <n v="626.86"/>
    <n v="626.86"/>
  </r>
  <r>
    <s v="9021NJT"/>
    <x v="0"/>
    <s v="Renault"/>
    <x v="5"/>
    <s v="L1 Start EV45 11kW"/>
    <s v="Comodin Energias 2, "/>
    <s v=""/>
    <s v="IPTR660021"/>
    <d v="2026-01-19T00:00:00"/>
    <d v="2032-01-31T00:00:00"/>
    <n v="0"/>
    <x v="3"/>
    <n v="72"/>
    <n v="75000"/>
    <n v="539.28"/>
    <n v="539.28"/>
  </r>
  <r>
    <s v="9419MYT"/>
    <x v="0"/>
    <s v="BMW"/>
    <x v="0"/>
    <s v="220i"/>
    <s v="Costa Trachsel, Monica"/>
    <s v="B"/>
    <s v="IPTR670004"/>
    <d v="2025-03-10T00:00:00"/>
    <d v="2029-03-31T00:00:00"/>
    <n v="5.8"/>
    <x v="0"/>
    <n v="48"/>
    <n v="100000"/>
    <n v="685.29"/>
    <n v="685.29"/>
  </r>
  <r>
    <s v="9438MYT"/>
    <x v="0"/>
    <s v="BMW"/>
    <x v="0"/>
    <s v="220i"/>
    <s v="Garcia Martinez, Joan Miquel"/>
    <s v="B"/>
    <s v="IPZF608320"/>
    <d v="2025-03-10T00:00:00"/>
    <d v="2029-03-31T00:00:00"/>
    <n v="5.8"/>
    <x v="0"/>
    <n v="48"/>
    <n v="120000"/>
    <n v="717.97"/>
    <n v="717.97"/>
  </r>
  <r>
    <s v="9452MYT"/>
    <x v="0"/>
    <s v="BMW"/>
    <x v="0"/>
    <s v="220i"/>
    <s v="Valldeperez Fors, Joaquin"/>
    <s v="A"/>
    <s v="IPMK580100"/>
    <d v="2025-03-10T00:00:00"/>
    <d v="2029-03-31T00:00:00"/>
    <n v="5.8"/>
    <x v="0"/>
    <n v="48"/>
    <n v="80000"/>
    <n v="656.7"/>
    <n v="656.7"/>
  </r>
  <r>
    <s v="9499MYT"/>
    <x v="0"/>
    <s v="BMW"/>
    <x v="0"/>
    <s v="220i"/>
    <s v="Salas Puyuelo, Ana Belen"/>
    <s v="B"/>
    <s v="IPP1641002"/>
    <d v="2025-03-10T00:00:00"/>
    <d v="2029-03-31T00:00:00"/>
    <n v="5.8"/>
    <x v="0"/>
    <n v="48"/>
    <n v="40000"/>
    <n v="622.22"/>
    <n v="622.22"/>
  </r>
  <r>
    <s v="9673NLL"/>
    <x v="0"/>
    <s v="BMW"/>
    <x v="1"/>
    <s v="320d Auto."/>
    <s v="Dolfini, Giorgio"/>
    <s v="C"/>
    <s v="IPP1641003"/>
    <d v="2026-03-26T00:00:00"/>
    <d v="2030-03-26T00:00:00"/>
    <n v="5.6999998092651367"/>
    <x v="2"/>
    <n v="48"/>
    <n v="80000"/>
    <n v="711.21002197265625"/>
    <n v="543.1"/>
  </r>
  <r>
    <s v="9784MBV"/>
    <x v="0"/>
    <s v="BMW"/>
    <x v="2"/>
    <s v="218d Gran Tourer"/>
    <s v="Rat, Anca Claudia"/>
    <s v="A"/>
    <s v="IPMK583100"/>
    <d v="2022-10-28T00:00:00"/>
    <d v="2026-10-31T00:00:00"/>
    <n v="5.0999999999999996"/>
    <x v="2"/>
    <n v="48"/>
    <n v="100000"/>
    <n v="561.19000000000005"/>
    <n v="561.19000000000005"/>
  </r>
  <r>
    <m/>
    <x v="1"/>
    <m/>
    <x v="6"/>
    <m/>
    <m/>
    <m/>
    <m/>
    <m/>
    <m/>
    <m/>
    <x v="4"/>
    <m/>
    <m/>
    <m/>
    <m/>
  </r>
  <r>
    <m/>
    <x v="1"/>
    <m/>
    <x v="6"/>
    <m/>
    <m/>
    <m/>
    <m/>
    <m/>
    <m/>
    <m/>
    <x v="4"/>
    <m/>
    <m/>
    <m/>
    <m/>
  </r>
  <r>
    <m/>
    <x v="1"/>
    <m/>
    <x v="6"/>
    <m/>
    <m/>
    <m/>
    <m/>
    <m/>
    <m/>
    <m/>
    <x v="4"/>
    <m/>
    <m/>
    <m/>
    <m/>
  </r>
  <r>
    <m/>
    <x v="1"/>
    <m/>
    <x v="6"/>
    <m/>
    <m/>
    <m/>
    <m/>
    <m/>
    <m/>
    <m/>
    <x v="4"/>
    <m/>
    <m/>
    <m/>
    <m/>
  </r>
  <r>
    <m/>
    <x v="1"/>
    <m/>
    <x v="6"/>
    <m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A40ED-99B8-4149-9F56-E80AF0AB79B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7:E18" firstHeaderRow="1" firstDataRow="1" firstDataCol="0" rowPageCount="2" colPageCount="1"/>
  <pivotFields count="16">
    <pivotField showAll="0"/>
    <pivotField axis="axisPage" multipleItemSelectionAllowed="1" showAll="0">
      <items count="4">
        <item x="0"/>
        <item h="1" x="1"/>
        <item h="1" m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dataField="1" showAll="0"/>
    <pivotField axis="axisPage" multipleItemSelectionAllowed="1" showAll="0">
      <items count="9">
        <item h="1" x="2"/>
        <item h="1" x="3"/>
        <item h="1" m="1" x="6"/>
        <item m="1" x="7"/>
        <item h="1" x="4"/>
        <item x="0"/>
        <item h="1" x="1"/>
        <item h="1" m="1" x="5"/>
        <item t="default"/>
      </items>
    </pivotField>
    <pivotField showAll="0"/>
    <pivotField showAll="0"/>
    <pivotField numFmtId="166" showAll="0"/>
    <pivotField showAll="0"/>
  </pivotFields>
  <rowItems count="1">
    <i/>
  </rowItems>
  <colItems count="1">
    <i/>
  </colItems>
  <pageFields count="2">
    <pageField fld="1" hier="-1"/>
    <pageField fld="11" hier="-1"/>
  </pageFields>
  <dataFields count="1">
    <dataField name="Average of Consumo Fabricante" fld="10" subtotal="average" baseField="12" baseItem="0" numFmtId="4"/>
  </dataFields>
  <formats count="3">
    <format dxfId="7">
      <pivotArea collapsedLevelsAreSubtotals="1" fieldPosition="0">
        <references count="1">
          <reference field="11" count="1">
            <x v="0"/>
          </reference>
        </references>
      </pivotArea>
    </format>
    <format dxfId="6">
      <pivotArea collapsedLevelsAreSubtotals="1" fieldPosition="0">
        <references count="1">
          <reference field="11" count="1">
            <x v="3"/>
          </reference>
        </references>
      </pivotArea>
    </format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71E7B-85A0-4A66-8D31-DDEBB4C2313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8:E9" firstHeaderRow="1" firstDataRow="1" firstDataCol="0" rowPageCount="2" colPageCount="1"/>
  <pivotFields count="16">
    <pivotField showAll="0"/>
    <pivotField axis="axisPage" multipleItemSelectionAllowed="1" showAll="0">
      <items count="4">
        <item x="0"/>
        <item h="1" x="1"/>
        <item h="1" m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dataField="1" showAll="0"/>
    <pivotField axis="axisPage" multipleItemSelectionAllowed="1" showAll="0">
      <items count="9">
        <item x="2"/>
        <item h="1" x="3"/>
        <item m="1" x="6"/>
        <item h="1" m="1" x="7"/>
        <item h="1" x="4"/>
        <item h="1" x="0"/>
        <item x="1"/>
        <item h="1" m="1" x="5"/>
        <item t="default"/>
      </items>
    </pivotField>
    <pivotField showAll="0"/>
    <pivotField showAll="0"/>
    <pivotField numFmtId="166" showAll="0"/>
    <pivotField showAll="0"/>
  </pivotFields>
  <rowItems count="1">
    <i/>
  </rowItems>
  <colItems count="1">
    <i/>
  </colItems>
  <pageFields count="2">
    <pageField fld="1" hier="-1"/>
    <pageField fld="11" hier="-1"/>
  </pageFields>
  <dataFields count="1">
    <dataField name="Average of Consumo Fabricante" fld="10" subtotal="average" baseField="12" baseItem="0" numFmtId="4"/>
  </dataFields>
  <formats count="3">
    <format dxfId="10">
      <pivotArea collapsedLevelsAreSubtotals="1" fieldPosition="0">
        <references count="1">
          <reference field="11" count="1">
            <x v="0"/>
          </reference>
        </references>
      </pivotArea>
    </format>
    <format dxfId="9">
      <pivotArea collapsedLevelsAreSubtotals="1" fieldPosition="0">
        <references count="1">
          <reference field="11" count="1">
            <x v="3"/>
          </reference>
        </references>
      </pivotArea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92C14-3D51-4FFB-9700-05CDE830ADC8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B3" firstHeaderRow="1" firstDataRow="1" firstDataCol="0"/>
  <pivotFields count="16">
    <pivotField dataField="1" showAll="0"/>
    <pivotField multipleItemSelectionAllowed="1"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numFmtId="166" showAll="0"/>
    <pivotField showAll="0"/>
  </pivotFields>
  <rowItems count="1">
    <i/>
  </rowItems>
  <colItems count="1">
    <i/>
  </colItems>
  <dataFields count="1">
    <dataField name="Count of Matrícul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1BA40-C742-4B65-9F02-B45750F3A80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23" firstHeaderRow="1" firstDataRow="1" firstDataCol="1" rowPageCount="1" colPageCount="1"/>
  <pivotFields count="16">
    <pivotField showAll="0"/>
    <pivotField axis="axisPage" multipleItemSelectionAllowed="1" showAll="0">
      <items count="4">
        <item x="0"/>
        <item x="1"/>
        <item m="1" x="2"/>
        <item t="default"/>
      </items>
    </pivotField>
    <pivotField showAll="0"/>
    <pivotField axis="axisRow" showAll="0">
      <items count="11">
        <item x="4"/>
        <item m="1" x="9"/>
        <item x="2"/>
        <item x="0"/>
        <item m="1" x="8"/>
        <item x="1"/>
        <item x="3"/>
        <item x="6"/>
        <item m="1" x="7"/>
        <item x="5"/>
        <item t="default"/>
      </items>
    </pivotField>
    <pivotField showAll="0"/>
    <pivotField showAll="0"/>
    <pivotField showAll="0"/>
    <pivotField showAll="0"/>
    <pivotField numFmtId="22" showAll="0"/>
    <pivotField numFmtId="22" showAll="0"/>
    <pivotField dataField="1" showAll="0"/>
    <pivotField axis="axisRow" showAll="0">
      <items count="9">
        <item x="2"/>
        <item x="3"/>
        <item m="1" x="6"/>
        <item m="1" x="7"/>
        <item x="4"/>
        <item x="0"/>
        <item x="1"/>
        <item m="1" x="5"/>
        <item t="default"/>
      </items>
    </pivotField>
    <pivotField showAll="0"/>
    <pivotField showAll="0"/>
    <pivotField numFmtId="166" showAll="0"/>
    <pivotField showAll="0"/>
  </pivotFields>
  <rowFields count="2">
    <field x="11"/>
    <field x="3"/>
  </rowFields>
  <rowItems count="15">
    <i>
      <x/>
    </i>
    <i r="1">
      <x v="2"/>
    </i>
    <i r="1">
      <x v="3"/>
    </i>
    <i r="1">
      <x v="5"/>
    </i>
    <i>
      <x v="1"/>
    </i>
    <i r="1">
      <x/>
    </i>
    <i r="1">
      <x v="9"/>
    </i>
    <i>
      <x v="4"/>
    </i>
    <i r="1">
      <x v="7"/>
    </i>
    <i>
      <x v="5"/>
    </i>
    <i r="1">
      <x v="3"/>
    </i>
    <i>
      <x v="6"/>
    </i>
    <i r="1">
      <x v="5"/>
    </i>
    <i r="1">
      <x v="6"/>
    </i>
    <i t="grand">
      <x/>
    </i>
  </rowItems>
  <colItems count="1">
    <i/>
  </colItems>
  <pageFields count="1">
    <pageField fld="1" hier="-1"/>
  </pageFields>
  <dataFields count="1">
    <dataField name="Average of Consumo Fabricante" fld="10" subtotal="average" baseField="12" baseItem="0" numFmtId="4"/>
  </dataFields>
  <formats count="3">
    <format dxfId="13">
      <pivotArea collapsedLevelsAreSubtotals="1" fieldPosition="0">
        <references count="1">
          <reference field="11" count="1">
            <x v="3"/>
          </reference>
        </references>
      </pivotArea>
    </format>
    <format dxfId="12">
      <pivotArea collapsedLevelsAreSubtotals="1" fieldPosition="0">
        <references count="1">
          <reference field="11" count="1">
            <x v="2"/>
          </reference>
        </references>
      </pivotArea>
    </format>
    <format dxfId="11">
      <pivotArea collapsedLevelsAreSubtotals="1" fieldPosition="0">
        <references count="1">
          <reference field="1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eoportalgasolineras.es/geoportal-instalaciones/Inicio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global.travelexpenses@covestro.com" TargetMode="External"/><Relationship Id="rId1" Type="http://schemas.openxmlformats.org/officeDocument/2006/relationships/hyperlink" Target="http://www.minetur.gob.es/energia/petroleo/Precios/Informes/InformesMensuales/Paginas/IndexInformesMensuales.aspx" TargetMode="External"/><Relationship Id="rId6" Type="http://schemas.openxmlformats.org/officeDocument/2006/relationships/customProperty" Target="../customProperty1.bin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eoportalgasolineras.es/geoportal-instalaciones/Inici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oe.es/buscar/act.php?id=BOE-A-2022-4972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ustomProperty" Target="../customProperty3.bin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F747-987B-49DD-A021-5E4DE45716A0}">
  <dimension ref="A1:K18"/>
  <sheetViews>
    <sheetView showGridLines="0" topLeftCell="B1" zoomScale="85" zoomScaleNormal="85" workbookViewId="0">
      <selection activeCell="J13" sqref="J13"/>
    </sheetView>
  </sheetViews>
  <sheetFormatPr defaultColWidth="11.44140625" defaultRowHeight="13.2" x14ac:dyDescent="0.25"/>
  <cols>
    <col min="1" max="16384" width="11.44140625" style="2"/>
  </cols>
  <sheetData>
    <row r="1" spans="1:11" x14ac:dyDescent="0.25">
      <c r="A1" s="1" t="s">
        <v>0</v>
      </c>
    </row>
    <row r="2" spans="1:11" x14ac:dyDescent="0.25">
      <c r="A2" s="3" t="s">
        <v>1</v>
      </c>
      <c r="K2" s="2" t="s">
        <v>329</v>
      </c>
    </row>
    <row r="3" spans="1:11" x14ac:dyDescent="0.25">
      <c r="A3" s="52" t="s">
        <v>2</v>
      </c>
      <c r="K3" s="2" t="s">
        <v>3</v>
      </c>
    </row>
    <row r="4" spans="1:11" x14ac:dyDescent="0.25">
      <c r="A4" s="3"/>
      <c r="E4" s="52"/>
      <c r="K4" s="2" t="s">
        <v>4</v>
      </c>
    </row>
    <row r="5" spans="1:11" x14ac:dyDescent="0.25">
      <c r="A5" s="2" t="s">
        <v>5</v>
      </c>
      <c r="K5" s="2" t="s">
        <v>6</v>
      </c>
    </row>
    <row r="6" spans="1:11" x14ac:dyDescent="0.25">
      <c r="A6" s="2" t="s">
        <v>7</v>
      </c>
      <c r="K6" s="2" t="s">
        <v>8</v>
      </c>
    </row>
    <row r="7" spans="1:11" x14ac:dyDescent="0.25">
      <c r="A7" s="3" t="s">
        <v>9</v>
      </c>
      <c r="K7" s="4" t="s">
        <v>10</v>
      </c>
    </row>
    <row r="8" spans="1:11" x14ac:dyDescent="0.25">
      <c r="A8" s="2" t="s">
        <v>11</v>
      </c>
      <c r="K8" s="2" t="s">
        <v>12</v>
      </c>
    </row>
    <row r="9" spans="1:11" x14ac:dyDescent="0.25">
      <c r="K9" s="4" t="s">
        <v>13</v>
      </c>
    </row>
    <row r="10" spans="1:11" x14ac:dyDescent="0.25">
      <c r="A10" s="5" t="s">
        <v>14</v>
      </c>
    </row>
    <row r="11" spans="1:11" x14ac:dyDescent="0.25">
      <c r="A11" s="5"/>
    </row>
    <row r="12" spans="1:11" x14ac:dyDescent="0.25">
      <c r="A12" s="2" t="s">
        <v>15</v>
      </c>
    </row>
    <row r="13" spans="1:11" x14ac:dyDescent="0.25">
      <c r="J13" s="52" t="s">
        <v>300</v>
      </c>
    </row>
    <row r="14" spans="1:11" x14ac:dyDescent="0.25">
      <c r="A14" s="2" t="s">
        <v>16</v>
      </c>
    </row>
    <row r="18" spans="1:1" x14ac:dyDescent="0.25">
      <c r="A18" s="2" t="s">
        <v>17</v>
      </c>
    </row>
  </sheetData>
  <hyperlinks>
    <hyperlink ref="A2" r:id="rId1" xr:uid="{91D73262-355E-4FFE-83BB-7514108ADDFA}"/>
    <hyperlink ref="A7" r:id="rId2" xr:uid="{8021B021-16A4-4F4F-9C00-91395CEA4AB1}"/>
    <hyperlink ref="A3" r:id="rId3" display="https://geoportalgasolineras.es/geoportal-instalaciones/Inicio" xr:uid="{973C564F-22DD-4216-B8F7-10F38197749D}"/>
    <hyperlink ref="J13" r:id="rId4" display="https://geoportalgasolineras.es/geoportal-instalaciones/Inicio" xr:uid="{F00FD284-A74B-4C09-A686-532BBD1D24F8}"/>
  </hyperlinks>
  <pageMargins left="0.7" right="0.7" top="0.75" bottom="0.75" header="0.3" footer="0.3"/>
  <pageSetup orientation="portrait" r:id="rId5"/>
  <headerFooter>
    <oddFooter>&amp;R_x000D_&amp;1#&amp;"Arial"&amp;16&amp;K009FE4 INTERNAL</oddFooter>
  </headerFooter>
  <customProperties>
    <customPr name="_pios_id" r:id="rId6"/>
  </customPropertie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141C-177B-4EAE-9CBB-4EB918C1817C}">
  <dimension ref="A1:S147"/>
  <sheetViews>
    <sheetView showGridLines="0" tabSelected="1" topLeftCell="A119" zoomScale="85" zoomScaleNormal="85" workbookViewId="0">
      <selection activeCell="I145" sqref="I145"/>
    </sheetView>
  </sheetViews>
  <sheetFormatPr defaultRowHeight="13.2" x14ac:dyDescent="0.25"/>
  <cols>
    <col min="1" max="1" width="15.21875" customWidth="1"/>
    <col min="9" max="9" width="14.21875" customWidth="1"/>
    <col min="11" max="11" width="23.21875" customWidth="1"/>
    <col min="12" max="15" width="13.77734375" customWidth="1"/>
  </cols>
  <sheetData>
    <row r="1" spans="1:19" s="2" customFormat="1" ht="15.6" x14ac:dyDescent="0.3">
      <c r="A1" s="11" t="s">
        <v>18</v>
      </c>
    </row>
    <row r="2" spans="1:19" s="2" customFormat="1" ht="15.6" x14ac:dyDescent="0.3">
      <c r="A2" s="11" t="s">
        <v>19</v>
      </c>
    </row>
    <row r="3" spans="1:19" s="2" customFormat="1" x14ac:dyDescent="0.25"/>
    <row r="4" spans="1:19" s="2" customFormat="1" x14ac:dyDescent="0.25"/>
    <row r="5" spans="1:19" s="2" customFormat="1" ht="41.4" thickBot="1" x14ac:dyDescent="0.3">
      <c r="A5" s="12" t="s">
        <v>20</v>
      </c>
      <c r="B5" s="13" t="s">
        <v>21</v>
      </c>
      <c r="C5" s="14" t="s">
        <v>22</v>
      </c>
      <c r="D5" s="15" t="s">
        <v>23</v>
      </c>
      <c r="E5" s="16" t="s">
        <v>24</v>
      </c>
      <c r="F5" s="16" t="s">
        <v>25</v>
      </c>
      <c r="G5" s="17" t="s">
        <v>26</v>
      </c>
      <c r="H5" s="13" t="s">
        <v>27</v>
      </c>
      <c r="I5" s="16" t="s">
        <v>28</v>
      </c>
      <c r="J5" s="16" t="s">
        <v>29</v>
      </c>
      <c r="K5" s="17" t="s">
        <v>30</v>
      </c>
    </row>
    <row r="6" spans="1:19" s="2" customFormat="1" x14ac:dyDescent="0.25">
      <c r="A6" s="18"/>
      <c r="B6" s="19"/>
      <c r="C6" s="20"/>
      <c r="D6" s="21"/>
      <c r="G6" s="22"/>
      <c r="H6" s="19"/>
      <c r="K6" s="22"/>
    </row>
    <row r="7" spans="1:19" s="2" customFormat="1" x14ac:dyDescent="0.25">
      <c r="A7" s="23" t="s">
        <v>31</v>
      </c>
      <c r="B7" s="24">
        <v>1.3329298245614043</v>
      </c>
      <c r="C7" s="25">
        <v>1.4541514872738297</v>
      </c>
      <c r="D7" s="26">
        <f t="shared" ref="D7:D12" si="0">AVERAGE(B7,C7)</f>
        <v>1.3935406559176169</v>
      </c>
      <c r="E7" s="27">
        <v>5.2</v>
      </c>
      <c r="F7" s="28">
        <f t="shared" ref="F7:F12" si="1">+D7</f>
        <v>1.3935406559176169</v>
      </c>
      <c r="G7" s="29">
        <f t="shared" ref="G7:G12" si="2">E7*F7/100</f>
        <v>7.2464114107716082E-2</v>
      </c>
      <c r="H7" s="24">
        <v>1.179299709020369</v>
      </c>
      <c r="I7" s="27">
        <v>5.3</v>
      </c>
      <c r="J7" s="28">
        <f t="shared" ref="J7:J12" si="3">+H7</f>
        <v>1.179299709020369</v>
      </c>
      <c r="K7" s="29">
        <f t="shared" ref="K7:K12" si="4">I7*J7/100</f>
        <v>6.2502884578079551E-2</v>
      </c>
      <c r="S7" s="37"/>
    </row>
    <row r="8" spans="1:19" s="2" customFormat="1" x14ac:dyDescent="0.25">
      <c r="A8" s="23" t="s">
        <v>32</v>
      </c>
      <c r="B8" s="24">
        <v>1.2104397264806175</v>
      </c>
      <c r="C8" s="25">
        <v>1.3318808724832423</v>
      </c>
      <c r="D8" s="26">
        <f t="shared" si="0"/>
        <v>1.27116029948193</v>
      </c>
      <c r="E8" s="27">
        <v>5.2</v>
      </c>
      <c r="F8" s="28">
        <f t="shared" si="1"/>
        <v>1.27116029948193</v>
      </c>
      <c r="G8" s="29">
        <f t="shared" si="2"/>
        <v>6.6100335573060359E-2</v>
      </c>
      <c r="H8" s="24">
        <v>1.0713664787833848</v>
      </c>
      <c r="I8" s="27">
        <v>5.3</v>
      </c>
      <c r="J8" s="28">
        <f t="shared" si="3"/>
        <v>1.0713664787833848</v>
      </c>
      <c r="K8" s="29">
        <f t="shared" si="4"/>
        <v>5.6782423375519392E-2</v>
      </c>
      <c r="S8" s="37"/>
    </row>
    <row r="9" spans="1:19" s="2" customFormat="1" x14ac:dyDescent="0.25">
      <c r="A9" s="23" t="s">
        <v>33</v>
      </c>
      <c r="B9" s="24">
        <v>1.1717613486117182</v>
      </c>
      <c r="C9" s="25">
        <v>1.2958548534798724</v>
      </c>
      <c r="D9" s="26">
        <f t="shared" si="0"/>
        <v>1.2338081010457953</v>
      </c>
      <c r="E9" s="27">
        <v>5.2</v>
      </c>
      <c r="F9" s="28">
        <f t="shared" si="1"/>
        <v>1.2338081010457953</v>
      </c>
      <c r="G9" s="29">
        <f t="shared" si="2"/>
        <v>6.4158021254381359E-2</v>
      </c>
      <c r="H9" s="24">
        <v>1.070002339927685</v>
      </c>
      <c r="I9" s="27">
        <v>5.3</v>
      </c>
      <c r="J9" s="28">
        <f t="shared" si="3"/>
        <v>1.070002339927685</v>
      </c>
      <c r="K9" s="29">
        <f t="shared" si="4"/>
        <v>5.6710124016167304E-2</v>
      </c>
      <c r="S9" s="37"/>
    </row>
    <row r="10" spans="1:19" s="2" customFormat="1" x14ac:dyDescent="0.25">
      <c r="A10" s="23" t="s">
        <v>34</v>
      </c>
      <c r="B10" s="24">
        <v>1.1486851851851829</v>
      </c>
      <c r="C10" s="25">
        <v>1.2729910755500711</v>
      </c>
      <c r="D10" s="26">
        <f t="shared" si="0"/>
        <v>1.210838130367627</v>
      </c>
      <c r="E10" s="27">
        <v>5.2</v>
      </c>
      <c r="F10" s="28">
        <f t="shared" si="1"/>
        <v>1.210838130367627</v>
      </c>
      <c r="G10" s="29">
        <f t="shared" si="2"/>
        <v>6.2963582779116609E-2</v>
      </c>
      <c r="H10" s="24">
        <v>1.0510900000000045</v>
      </c>
      <c r="I10" s="27">
        <v>5.3</v>
      </c>
      <c r="J10" s="28">
        <f t="shared" si="3"/>
        <v>1.0510900000000045</v>
      </c>
      <c r="K10" s="29">
        <f t="shared" si="4"/>
        <v>5.570777000000024E-2</v>
      </c>
      <c r="S10" s="37"/>
    </row>
    <row r="11" spans="1:19" s="2" customFormat="1" x14ac:dyDescent="0.25">
      <c r="A11" s="23" t="s">
        <v>35</v>
      </c>
      <c r="B11" s="24">
        <v>1.1623630691768818</v>
      </c>
      <c r="C11" s="25">
        <v>1.2876738931297778</v>
      </c>
      <c r="D11" s="26">
        <f t="shared" si="0"/>
        <v>1.2250184811533298</v>
      </c>
      <c r="E11" s="27">
        <v>5.2</v>
      </c>
      <c r="F11" s="28">
        <f t="shared" si="1"/>
        <v>1.2250184811533298</v>
      </c>
      <c r="G11" s="29">
        <f t="shared" si="2"/>
        <v>6.3700961019973149E-2</v>
      </c>
      <c r="H11" s="24">
        <v>1.0540398351648326</v>
      </c>
      <c r="I11" s="27">
        <v>5.3</v>
      </c>
      <c r="J11" s="28">
        <f t="shared" si="3"/>
        <v>1.0540398351648326</v>
      </c>
      <c r="K11" s="29">
        <f t="shared" si="4"/>
        <v>5.5864111263736117E-2</v>
      </c>
      <c r="S11" s="37"/>
    </row>
    <row r="12" spans="1:19" s="2" customFormat="1" x14ac:dyDescent="0.25">
      <c r="A12" s="23" t="s">
        <v>36</v>
      </c>
      <c r="B12" s="24">
        <v>1.1283134409775286</v>
      </c>
      <c r="C12" s="25">
        <v>1.2529243813015263</v>
      </c>
      <c r="D12" s="26">
        <f t="shared" si="0"/>
        <v>1.1906189111395276</v>
      </c>
      <c r="E12" s="27">
        <v>5.2</v>
      </c>
      <c r="F12" s="28">
        <f t="shared" si="1"/>
        <v>1.1906189111395276</v>
      </c>
      <c r="G12" s="29">
        <f t="shared" si="2"/>
        <v>6.1912183379255435E-2</v>
      </c>
      <c r="H12" s="24">
        <v>0.96252675849013813</v>
      </c>
      <c r="I12" s="27">
        <v>5.3</v>
      </c>
      <c r="J12" s="28">
        <f t="shared" si="3"/>
        <v>0.96252675849013813</v>
      </c>
      <c r="K12" s="29">
        <f t="shared" si="4"/>
        <v>5.1013918199977318E-2</v>
      </c>
      <c r="S12" s="37"/>
    </row>
    <row r="13" spans="1:19" s="2" customFormat="1" x14ac:dyDescent="0.25">
      <c r="A13" s="23" t="s">
        <v>37</v>
      </c>
      <c r="B13" s="24">
        <v>1.0979138714564087</v>
      </c>
      <c r="C13" s="25">
        <v>1.2238520547945049</v>
      </c>
      <c r="D13" s="26">
        <f>AVERAGE(B13,C13)</f>
        <v>1.1608829631254567</v>
      </c>
      <c r="E13" s="27">
        <v>5.2</v>
      </c>
      <c r="F13" s="28">
        <f>+D13</f>
        <v>1.1608829631254567</v>
      </c>
      <c r="G13" s="29">
        <f>E13*F13/100</f>
        <v>6.0365914082523744E-2</v>
      </c>
      <c r="H13" s="24">
        <v>0.91059551616266976</v>
      </c>
      <c r="I13" s="27">
        <v>5.3</v>
      </c>
      <c r="J13" s="28">
        <f>+H13</f>
        <v>0.91059551616266976</v>
      </c>
      <c r="K13" s="29">
        <f>I13*J13/100</f>
        <v>4.8261562356621497E-2</v>
      </c>
      <c r="S13" s="37"/>
    </row>
    <row r="14" spans="1:19" s="2" customFormat="1" x14ac:dyDescent="0.25">
      <c r="S14" s="37"/>
    </row>
    <row r="15" spans="1:19" s="2" customFormat="1" x14ac:dyDescent="0.25">
      <c r="S15" s="37"/>
    </row>
    <row r="16" spans="1:19" s="2" customFormat="1" x14ac:dyDescent="0.25">
      <c r="S16" s="37"/>
    </row>
    <row r="17" spans="1:19" s="2" customFormat="1" x14ac:dyDescent="0.25">
      <c r="S17" s="37"/>
    </row>
    <row r="18" spans="1:19" s="2" customFormat="1" x14ac:dyDescent="0.25">
      <c r="S18" s="37"/>
    </row>
    <row r="19" spans="1:19" s="2" customFormat="1" x14ac:dyDescent="0.25">
      <c r="S19" s="37"/>
    </row>
    <row r="20" spans="1:19" s="2" customFormat="1" x14ac:dyDescent="0.25">
      <c r="S20" s="37"/>
    </row>
    <row r="21" spans="1:19" s="2" customFormat="1" x14ac:dyDescent="0.25">
      <c r="S21" s="37"/>
    </row>
    <row r="22" spans="1:19" s="2" customFormat="1" x14ac:dyDescent="0.25">
      <c r="S22" s="37"/>
    </row>
    <row r="23" spans="1:19" s="2" customFormat="1" x14ac:dyDescent="0.25">
      <c r="S23" s="37"/>
    </row>
    <row r="24" spans="1:19" s="2" customFormat="1" x14ac:dyDescent="0.25">
      <c r="S24" s="37"/>
    </row>
    <row r="25" spans="1:19" s="2" customFormat="1" x14ac:dyDescent="0.25">
      <c r="S25" s="37"/>
    </row>
    <row r="26" spans="1:19" s="2" customFormat="1" x14ac:dyDescent="0.25">
      <c r="S26" s="37"/>
    </row>
    <row r="27" spans="1:19" s="2" customFormat="1" x14ac:dyDescent="0.25">
      <c r="S27" s="37"/>
    </row>
    <row r="28" spans="1:19" s="2" customFormat="1" x14ac:dyDescent="0.25">
      <c r="S28" s="37"/>
    </row>
    <row r="29" spans="1:19" s="2" customFormat="1" x14ac:dyDescent="0.25">
      <c r="S29" s="37"/>
    </row>
    <row r="30" spans="1:19" s="2" customFormat="1" x14ac:dyDescent="0.25">
      <c r="A30" s="23" t="s">
        <v>38</v>
      </c>
      <c r="B30" s="30"/>
      <c r="C30" s="30"/>
      <c r="D30" s="30"/>
      <c r="E30" s="30"/>
      <c r="F30" s="30"/>
      <c r="G30" s="30"/>
      <c r="H30" s="24">
        <v>1.0715631676253259</v>
      </c>
      <c r="I30" s="27">
        <v>5</v>
      </c>
      <c r="J30" s="28">
        <v>1.0715631676253259</v>
      </c>
      <c r="K30" s="31">
        <f>I30*J30/100</f>
        <v>5.3578158381266297E-2</v>
      </c>
      <c r="P30" s="32"/>
      <c r="S30" s="37"/>
    </row>
    <row r="31" spans="1:19" s="2" customFormat="1" x14ac:dyDescent="0.25">
      <c r="A31" s="23" t="s">
        <v>39</v>
      </c>
      <c r="C31" s="33"/>
      <c r="D31" s="34"/>
      <c r="E31" s="34"/>
      <c r="F31" s="34"/>
      <c r="G31" s="34"/>
      <c r="H31" s="24">
        <v>1.0610938362465732</v>
      </c>
      <c r="I31" s="27">
        <v>5</v>
      </c>
      <c r="J31" s="34">
        <f>H31</f>
        <v>1.0610938362465732</v>
      </c>
      <c r="K31" s="31">
        <f>I31*J31/100</f>
        <v>5.3054691812328657E-2</v>
      </c>
      <c r="S31" s="37"/>
    </row>
    <row r="32" spans="1:19" s="2" customFormat="1" ht="17.399999999999999" x14ac:dyDescent="0.3">
      <c r="A32" s="23" t="s">
        <v>40</v>
      </c>
      <c r="C32" s="33"/>
      <c r="D32" s="34"/>
      <c r="E32" s="34"/>
      <c r="F32" s="34"/>
      <c r="G32" s="34"/>
      <c r="H32" s="24">
        <v>1.1151010275714706</v>
      </c>
      <c r="I32" s="27">
        <v>5</v>
      </c>
      <c r="J32" s="34">
        <v>1.1151010275714706</v>
      </c>
      <c r="K32" s="31">
        <v>5.5755051378573527E-2</v>
      </c>
      <c r="M32" s="35"/>
      <c r="S32" s="37"/>
    </row>
    <row r="33" spans="1:19" s="2" customFormat="1" ht="17.399999999999999" x14ac:dyDescent="0.3">
      <c r="A33" s="23" t="s">
        <v>41</v>
      </c>
      <c r="C33" s="33"/>
      <c r="D33" s="34"/>
      <c r="E33" s="34"/>
      <c r="F33" s="34"/>
      <c r="G33" s="34"/>
      <c r="H33" s="24">
        <v>1.119174622728675</v>
      </c>
      <c r="I33" s="27">
        <v>5.0999999999999996</v>
      </c>
      <c r="J33" s="28">
        <v>1.119174622728675</v>
      </c>
      <c r="K33" s="31">
        <v>5.7077905759162419E-2</v>
      </c>
      <c r="M33" s="35"/>
      <c r="S33" s="37"/>
    </row>
    <row r="34" spans="1:19" s="2" customFormat="1" x14ac:dyDescent="0.25">
      <c r="A34" s="23" t="s">
        <v>42</v>
      </c>
      <c r="C34" s="33"/>
      <c r="D34" s="34"/>
      <c r="E34" s="34"/>
      <c r="F34" s="34"/>
      <c r="G34" s="34"/>
      <c r="H34" s="24">
        <v>1.1310681539091305</v>
      </c>
      <c r="I34" s="27">
        <v>5.0999999999999996</v>
      </c>
      <c r="J34" s="28">
        <v>1.1310681539091305</v>
      </c>
      <c r="K34" s="31">
        <v>5.7684475849365653E-2</v>
      </c>
      <c r="S34" s="37"/>
    </row>
    <row r="35" spans="1:19" s="2" customFormat="1" ht="17.399999999999999" x14ac:dyDescent="0.3">
      <c r="A35" s="23" t="s">
        <v>43</v>
      </c>
      <c r="C35" s="33"/>
      <c r="D35" s="34"/>
      <c r="E35" s="34"/>
      <c r="F35" s="34"/>
      <c r="G35" s="34"/>
      <c r="H35" s="24">
        <v>1.0913627331711444</v>
      </c>
      <c r="I35" s="27">
        <v>5.0999999999999996</v>
      </c>
      <c r="J35" s="28">
        <v>1.0913627331711444</v>
      </c>
      <c r="K35" s="31">
        <v>5.5659499391728359E-2</v>
      </c>
      <c r="M35" s="35"/>
      <c r="S35" s="37"/>
    </row>
    <row r="36" spans="1:19" s="2" customFormat="1" ht="17.399999999999999" x14ac:dyDescent="0.3">
      <c r="A36" s="23" t="s">
        <v>44</v>
      </c>
      <c r="C36" s="33"/>
      <c r="D36" s="34"/>
      <c r="E36" s="34"/>
      <c r="F36" s="34"/>
      <c r="G36" s="34"/>
      <c r="H36" s="24">
        <v>1.1083919812760838</v>
      </c>
      <c r="I36" s="27">
        <v>5.0999999999999996</v>
      </c>
      <c r="J36" s="28">
        <v>1.1083919812760838</v>
      </c>
      <c r="K36" s="31">
        <v>5.6527991045080273E-2</v>
      </c>
      <c r="M36" s="35"/>
      <c r="S36" s="37"/>
    </row>
    <row r="37" spans="1:19" s="2" customFormat="1" ht="17.399999999999999" x14ac:dyDescent="0.3">
      <c r="A37" s="23" t="s">
        <v>45</v>
      </c>
      <c r="C37" s="33"/>
      <c r="D37" s="34"/>
      <c r="E37" s="34"/>
      <c r="F37" s="34"/>
      <c r="G37" s="34"/>
      <c r="H37" s="24">
        <v>1.0861289106287808</v>
      </c>
      <c r="I37" s="27">
        <v>5.0999999999999996</v>
      </c>
      <c r="J37" s="28">
        <v>1.0861289106287808</v>
      </c>
      <c r="K37" s="31">
        <v>5.539257444206782E-2</v>
      </c>
      <c r="M37" s="35"/>
      <c r="S37" s="37"/>
    </row>
    <row r="38" spans="1:19" s="2" customFormat="1" ht="17.399999999999999" x14ac:dyDescent="0.3">
      <c r="A38" s="23" t="s">
        <v>46</v>
      </c>
      <c r="C38" s="33"/>
      <c r="D38" s="34"/>
      <c r="E38" s="34"/>
      <c r="F38" s="34"/>
      <c r="G38" s="34"/>
      <c r="H38" s="24">
        <v>1.0362183419374558</v>
      </c>
      <c r="I38" s="27">
        <v>5.0999999999999996</v>
      </c>
      <c r="J38" s="28">
        <v>1.0362183419374558</v>
      </c>
      <c r="K38" s="31">
        <v>5.2847135438810235E-2</v>
      </c>
      <c r="M38" s="35"/>
      <c r="S38" s="37"/>
    </row>
    <row r="39" spans="1:19" s="2" customFormat="1" ht="17.399999999999999" x14ac:dyDescent="0.3">
      <c r="A39" s="23" t="s">
        <v>47</v>
      </c>
      <c r="C39" s="33"/>
      <c r="D39" s="34"/>
      <c r="E39" s="34"/>
      <c r="F39" s="34"/>
      <c r="G39" s="34"/>
      <c r="H39" s="24">
        <v>1.062251898349722</v>
      </c>
      <c r="I39" s="27">
        <v>5.0999999999999996</v>
      </c>
      <c r="J39" s="28">
        <v>1.062251898349722</v>
      </c>
      <c r="K39" s="31">
        <v>5.4174846815835814E-2</v>
      </c>
      <c r="M39" s="35"/>
      <c r="S39" s="37"/>
    </row>
    <row r="40" spans="1:19" s="2" customFormat="1" ht="17.399999999999999" x14ac:dyDescent="0.3">
      <c r="A40" s="23" t="s">
        <v>48</v>
      </c>
      <c r="C40" s="33"/>
      <c r="D40" s="34"/>
      <c r="E40" s="34"/>
      <c r="F40" s="34"/>
      <c r="G40" s="34"/>
      <c r="H40" s="24">
        <v>1.0642208004913654</v>
      </c>
      <c r="I40" s="27">
        <v>5.0999999999999996</v>
      </c>
      <c r="J40" s="28">
        <v>1.0642208004913654</v>
      </c>
      <c r="K40" s="31">
        <v>5.4275260825059631E-2</v>
      </c>
      <c r="M40" s="35"/>
      <c r="S40" s="37"/>
    </row>
    <row r="41" spans="1:19" s="2" customFormat="1" ht="17.399999999999999" x14ac:dyDescent="0.3">
      <c r="A41" s="23" t="s">
        <v>49</v>
      </c>
      <c r="C41" s="33"/>
      <c r="D41" s="34"/>
      <c r="E41" s="34"/>
      <c r="F41" s="34"/>
      <c r="G41" s="34"/>
      <c r="H41" s="24">
        <v>1.0958337852767113</v>
      </c>
      <c r="I41" s="27">
        <v>5.0999999999999996</v>
      </c>
      <c r="J41" s="28">
        <v>1.0958337852767113</v>
      </c>
      <c r="K41" s="31">
        <v>5.5887523049112271E-2</v>
      </c>
      <c r="M41" s="35"/>
      <c r="S41" s="37"/>
    </row>
    <row r="42" spans="1:19" s="2" customFormat="1" ht="17.399999999999999" x14ac:dyDescent="0.3">
      <c r="A42" s="23" t="s">
        <v>50</v>
      </c>
      <c r="C42" s="33"/>
      <c r="D42" s="34"/>
      <c r="E42" s="34"/>
      <c r="F42" s="34"/>
      <c r="G42" s="34"/>
      <c r="H42" s="24">
        <v>1.1074426494345688</v>
      </c>
      <c r="I42" s="27">
        <v>5</v>
      </c>
      <c r="J42" s="28">
        <f>H42</f>
        <v>1.1074426494345688</v>
      </c>
      <c r="K42" s="31">
        <f>I42*J42/100</f>
        <v>5.5372132471728445E-2</v>
      </c>
      <c r="M42" s="35"/>
      <c r="S42" s="37"/>
    </row>
    <row r="43" spans="1:19" s="2" customFormat="1" ht="17.399999999999999" x14ac:dyDescent="0.3">
      <c r="A43" s="23" t="s">
        <v>51</v>
      </c>
      <c r="C43" s="33"/>
      <c r="D43" s="34"/>
      <c r="E43" s="34"/>
      <c r="F43" s="34"/>
      <c r="G43" s="34"/>
      <c r="H43" s="24">
        <v>1.1318755806907732</v>
      </c>
      <c r="I43" s="27">
        <v>5</v>
      </c>
      <c r="J43" s="28">
        <v>1.1318755806907732</v>
      </c>
      <c r="K43" s="31">
        <v>5.6593779034538653E-2</v>
      </c>
      <c r="M43" s="35"/>
      <c r="S43" s="37"/>
    </row>
    <row r="44" spans="1:19" s="2" customFormat="1" ht="17.399999999999999" x14ac:dyDescent="0.3">
      <c r="A44" s="23" t="s">
        <v>52</v>
      </c>
      <c r="C44" s="33"/>
      <c r="D44" s="34"/>
      <c r="E44" s="34"/>
      <c r="F44" s="34"/>
      <c r="G44" s="34"/>
      <c r="H44" s="24">
        <v>1.1425583477464569</v>
      </c>
      <c r="I44" s="27">
        <v>5</v>
      </c>
      <c r="J44" s="28">
        <v>1.1425583477464569</v>
      </c>
      <c r="K44" s="31">
        <v>5.7127917387322841E-2</v>
      </c>
      <c r="M44" s="35"/>
      <c r="S44" s="37"/>
    </row>
    <row r="45" spans="1:19" s="2" customFormat="1" ht="17.399999999999999" x14ac:dyDescent="0.3">
      <c r="A45" s="23" t="s">
        <v>53</v>
      </c>
      <c r="C45" s="33"/>
      <c r="D45" s="34"/>
      <c r="E45" s="34"/>
      <c r="F45" s="34"/>
      <c r="G45" s="34"/>
      <c r="H45" s="24">
        <v>1.1592232637839033</v>
      </c>
      <c r="I45" s="27">
        <v>5</v>
      </c>
      <c r="J45" s="28">
        <v>1.1592232637839033</v>
      </c>
      <c r="K45" s="31">
        <v>5.7961163189195163E-2</v>
      </c>
      <c r="M45" s="35"/>
      <c r="S45" s="37"/>
    </row>
    <row r="46" spans="1:19" s="2" customFormat="1" ht="17.399999999999999" x14ac:dyDescent="0.3">
      <c r="A46" s="23" t="s">
        <v>54</v>
      </c>
      <c r="C46" s="33"/>
      <c r="D46" s="34"/>
      <c r="E46" s="34"/>
      <c r="F46" s="34"/>
      <c r="G46" s="34"/>
      <c r="H46" s="24">
        <v>1.1337907974847865</v>
      </c>
      <c r="I46" s="27">
        <v>5</v>
      </c>
      <c r="J46" s="28">
        <v>1.1337907974847865</v>
      </c>
      <c r="K46" s="31">
        <v>5.6689539874239331E-2</v>
      </c>
      <c r="M46" s="35"/>
      <c r="S46" s="37"/>
    </row>
    <row r="47" spans="1:19" s="2" customFormat="1" ht="17.399999999999999" x14ac:dyDescent="0.3">
      <c r="A47" s="23" t="s">
        <v>55</v>
      </c>
      <c r="C47" s="33"/>
      <c r="D47" s="34"/>
      <c r="E47" s="34"/>
      <c r="F47" s="34"/>
      <c r="G47" s="34"/>
      <c r="H47" s="24">
        <v>1.1444053837686403</v>
      </c>
      <c r="I47" s="27">
        <v>5</v>
      </c>
      <c r="J47" s="28">
        <v>1.1444053837686403</v>
      </c>
      <c r="K47" s="31">
        <v>5.7220269188432017E-2</v>
      </c>
      <c r="M47" s="35"/>
      <c r="S47" s="37"/>
    </row>
    <row r="48" spans="1:19" s="2" customFormat="1" ht="17.399999999999999" x14ac:dyDescent="0.3">
      <c r="A48" s="23" t="s">
        <v>56</v>
      </c>
      <c r="C48" s="33"/>
      <c r="D48" s="34"/>
      <c r="E48" s="34"/>
      <c r="F48" s="34"/>
      <c r="G48" s="34"/>
      <c r="H48" s="24">
        <v>1.1829273737473702</v>
      </c>
      <c r="I48" s="27">
        <v>5</v>
      </c>
      <c r="J48" s="28">
        <v>1.1829273737473702</v>
      </c>
      <c r="K48" s="31">
        <v>5.9146368687368514E-2</v>
      </c>
      <c r="M48" s="35"/>
      <c r="S48" s="37"/>
    </row>
    <row r="49" spans="1:19" s="2" customFormat="1" ht="17.399999999999999" x14ac:dyDescent="0.3">
      <c r="A49" s="23" t="s">
        <v>57</v>
      </c>
      <c r="C49" s="33"/>
      <c r="D49" s="34"/>
      <c r="E49" s="34"/>
      <c r="F49" s="34"/>
      <c r="G49" s="34"/>
      <c r="H49" s="24">
        <v>1.2375116577751735</v>
      </c>
      <c r="I49" s="27">
        <v>5</v>
      </c>
      <c r="J49" s="28">
        <v>1.2375116577751735</v>
      </c>
      <c r="K49" s="31">
        <v>6.1875582888758676E-2</v>
      </c>
      <c r="M49" s="35"/>
      <c r="S49" s="37"/>
    </row>
    <row r="50" spans="1:19" s="2" customFormat="1" ht="17.399999999999999" x14ac:dyDescent="0.3">
      <c r="A50" s="23" t="s">
        <v>58</v>
      </c>
      <c r="C50" s="33"/>
      <c r="D50" s="34"/>
      <c r="E50" s="34"/>
      <c r="F50" s="34"/>
      <c r="G50" s="34"/>
      <c r="H50" s="24">
        <v>1.2158225613404938</v>
      </c>
      <c r="I50" s="27">
        <v>5</v>
      </c>
      <c r="J50" s="28">
        <v>1.2158225613404938</v>
      </c>
      <c r="K50" s="31">
        <v>6.0791128067024684E-2</v>
      </c>
      <c r="M50" s="35"/>
      <c r="S50" s="37"/>
    </row>
    <row r="51" spans="1:19" s="2" customFormat="1" ht="17.399999999999999" x14ac:dyDescent="0.3">
      <c r="A51" s="23" t="s">
        <v>59</v>
      </c>
      <c r="C51" s="33"/>
      <c r="D51" s="34"/>
      <c r="E51" s="34"/>
      <c r="F51" s="34"/>
      <c r="G51" s="34"/>
      <c r="H51" s="24">
        <v>1.2198188087147688</v>
      </c>
      <c r="I51" s="27">
        <v>5</v>
      </c>
      <c r="J51" s="28">
        <v>1.2198188087147688</v>
      </c>
      <c r="K51" s="31">
        <v>6.0990940435738439E-2</v>
      </c>
      <c r="M51" s="35"/>
      <c r="S51" s="37"/>
    </row>
    <row r="52" spans="1:19" s="2" customFormat="1" ht="17.399999999999999" x14ac:dyDescent="0.3">
      <c r="A52" s="23" t="s">
        <v>60</v>
      </c>
      <c r="C52" s="33"/>
      <c r="D52" s="34"/>
      <c r="E52" s="34"/>
      <c r="F52" s="34"/>
      <c r="G52" s="34"/>
      <c r="H52" s="24">
        <v>1.2324585846401417</v>
      </c>
      <c r="I52" s="27">
        <v>5</v>
      </c>
      <c r="J52" s="28">
        <v>1.2324585846401417</v>
      </c>
      <c r="K52" s="31">
        <v>6.1622929232007087E-2</v>
      </c>
      <c r="M52" s="35"/>
      <c r="S52" s="37"/>
    </row>
    <row r="53" spans="1:19" s="2" customFormat="1" ht="17.399999999999999" x14ac:dyDescent="0.3">
      <c r="A53" s="23" t="s">
        <v>61</v>
      </c>
      <c r="C53" s="33"/>
      <c r="D53" s="34"/>
      <c r="E53" s="34"/>
      <c r="F53" s="34"/>
      <c r="G53" s="34"/>
      <c r="H53" s="24">
        <v>1.2469506369426913</v>
      </c>
      <c r="I53" s="27">
        <v>5</v>
      </c>
      <c r="J53" s="28">
        <v>1.2469506369426913</v>
      </c>
      <c r="K53" s="31">
        <v>6.2347531847134569E-2</v>
      </c>
      <c r="M53" s="35"/>
      <c r="S53" s="37"/>
    </row>
    <row r="54" spans="1:19" s="2" customFormat="1" ht="17.399999999999999" x14ac:dyDescent="0.3">
      <c r="A54" s="23" t="s">
        <v>62</v>
      </c>
      <c r="C54" s="33"/>
      <c r="D54" s="34"/>
      <c r="E54" s="34"/>
      <c r="F54" s="34"/>
      <c r="G54" s="34"/>
      <c r="H54" s="24">
        <v>1.2726336369035836</v>
      </c>
      <c r="I54" s="27">
        <v>5</v>
      </c>
      <c r="J54" s="28">
        <v>1.2726336369035836</v>
      </c>
      <c r="K54" s="31">
        <v>6.3631681845179172E-2</v>
      </c>
      <c r="M54" s="35"/>
      <c r="S54" s="37"/>
    </row>
    <row r="55" spans="1:19" s="2" customFormat="1" ht="17.399999999999999" x14ac:dyDescent="0.3">
      <c r="A55" s="23" t="s">
        <v>63</v>
      </c>
      <c r="C55" s="33"/>
      <c r="D55" s="34"/>
      <c r="E55" s="34"/>
      <c r="F55" s="34"/>
      <c r="G55" s="34"/>
      <c r="H55" s="24">
        <v>1.1948784927193785</v>
      </c>
      <c r="I55" s="27">
        <v>5.0999999999999996</v>
      </c>
      <c r="J55" s="28">
        <v>1.1948784927193785</v>
      </c>
      <c r="K55" s="31">
        <v>6.0938803128688296E-2</v>
      </c>
      <c r="M55" s="35"/>
      <c r="S55" s="37"/>
    </row>
    <row r="56" spans="1:19" s="2" customFormat="1" ht="17.399999999999999" x14ac:dyDescent="0.3">
      <c r="A56" s="23" t="s">
        <v>64</v>
      </c>
      <c r="C56" s="33"/>
      <c r="D56" s="34"/>
      <c r="E56" s="34"/>
      <c r="F56" s="34"/>
      <c r="G56" s="34"/>
      <c r="H56" s="24">
        <v>1.1257436430196948</v>
      </c>
      <c r="I56" s="27">
        <v>5</v>
      </c>
      <c r="J56" s="28">
        <v>1.1257436430196948</v>
      </c>
      <c r="K56" s="31">
        <v>5.6287182150984737E-2</v>
      </c>
      <c r="M56" s="35"/>
      <c r="S56" s="37"/>
    </row>
    <row r="57" spans="1:19" s="2" customFormat="1" ht="17.399999999999999" x14ac:dyDescent="0.3">
      <c r="A57" s="23" t="s">
        <v>65</v>
      </c>
      <c r="C57" s="33"/>
      <c r="D57" s="34"/>
      <c r="E57" s="34"/>
      <c r="F57" s="34"/>
      <c r="G57" s="34"/>
      <c r="H57" s="24">
        <v>1.1832575906939833</v>
      </c>
      <c r="I57" s="27">
        <v>5</v>
      </c>
      <c r="J57" s="28">
        <v>1.1832575906939833</v>
      </c>
      <c r="K57" s="31">
        <v>5.9162879534699168E-2</v>
      </c>
      <c r="M57" s="35"/>
      <c r="S57" s="37"/>
    </row>
    <row r="58" spans="1:19" s="2" customFormat="1" ht="17.399999999999999" x14ac:dyDescent="0.3">
      <c r="A58" s="23" t="s">
        <v>66</v>
      </c>
      <c r="C58" s="33"/>
      <c r="D58" s="34"/>
      <c r="E58" s="34"/>
      <c r="F58" s="34"/>
      <c r="G58" s="34"/>
      <c r="H58" s="24">
        <v>1.2206981800295174</v>
      </c>
      <c r="I58" s="27">
        <v>5</v>
      </c>
      <c r="J58" s="28">
        <v>1.2206981800295174</v>
      </c>
      <c r="K58" s="31">
        <v>6.1034909001475866E-2</v>
      </c>
      <c r="M58" s="35"/>
      <c r="S58" s="37"/>
    </row>
    <row r="59" spans="1:19" s="2" customFormat="1" ht="17.399999999999999" x14ac:dyDescent="0.3">
      <c r="A59" s="23" t="s">
        <v>67</v>
      </c>
      <c r="C59" s="33"/>
      <c r="D59" s="34"/>
      <c r="E59" s="34"/>
      <c r="F59" s="34"/>
      <c r="G59" s="34"/>
      <c r="H59" s="24">
        <v>1.2244445873738328</v>
      </c>
      <c r="I59" s="27">
        <v>5.0999999999999996</v>
      </c>
      <c r="J59" s="28">
        <v>1.2244445873738328</v>
      </c>
      <c r="K59" s="31">
        <v>6.2446673956065464E-2</v>
      </c>
      <c r="M59" s="35"/>
      <c r="S59" s="37"/>
    </row>
    <row r="60" spans="1:19" s="2" customFormat="1" ht="17.399999999999999" x14ac:dyDescent="0.3">
      <c r="A60" s="23" t="s">
        <v>68</v>
      </c>
      <c r="C60" s="33"/>
      <c r="D60" s="34"/>
      <c r="E60" s="34"/>
      <c r="F60" s="34"/>
      <c r="G60" s="34"/>
      <c r="H60" s="24">
        <v>1.2525384916365454</v>
      </c>
      <c r="I60" s="27">
        <v>5.2</v>
      </c>
      <c r="J60" s="28">
        <v>1.2525384916365454</v>
      </c>
      <c r="K60" s="31">
        <v>6.5132001565100364E-2</v>
      </c>
      <c r="M60" s="35"/>
      <c r="S60" s="37"/>
    </row>
    <row r="61" spans="1:19" s="2" customFormat="1" ht="17.399999999999999" x14ac:dyDescent="0.3">
      <c r="A61" s="23" t="s">
        <v>69</v>
      </c>
      <c r="C61" s="33"/>
      <c r="D61" s="34"/>
      <c r="E61" s="34"/>
      <c r="F61" s="34"/>
      <c r="G61" s="34"/>
      <c r="H61" s="24">
        <v>1.2416604889590186</v>
      </c>
      <c r="I61" s="27">
        <v>5.2</v>
      </c>
      <c r="J61" s="28">
        <v>1.2416604889590186</v>
      </c>
      <c r="K61" s="31">
        <v>6.4566345425868962E-2</v>
      </c>
      <c r="M61" s="35"/>
      <c r="S61" s="37"/>
    </row>
    <row r="62" spans="1:19" s="2" customFormat="1" ht="17.399999999999999" x14ac:dyDescent="0.3">
      <c r="A62" s="23" t="s">
        <v>70</v>
      </c>
      <c r="C62" s="33"/>
      <c r="D62" s="34"/>
      <c r="E62" s="34"/>
      <c r="F62" s="34"/>
      <c r="G62" s="34"/>
      <c r="H62" s="24">
        <v>1.199048265015207</v>
      </c>
      <c r="I62" s="27">
        <v>5.0999999999999996</v>
      </c>
      <c r="J62" s="28">
        <v>1.199048265015207</v>
      </c>
      <c r="K62" s="31">
        <v>6.1151461515775551E-2</v>
      </c>
      <c r="M62" s="35"/>
      <c r="S62" s="37"/>
    </row>
    <row r="63" spans="1:19" s="2" customFormat="1" ht="17.399999999999999" x14ac:dyDescent="0.3">
      <c r="A63" s="23" t="s">
        <v>71</v>
      </c>
      <c r="C63" s="33"/>
      <c r="D63" s="34"/>
      <c r="E63" s="34"/>
      <c r="F63" s="34"/>
      <c r="G63" s="34"/>
      <c r="H63" s="24">
        <v>1.2094877710664085</v>
      </c>
      <c r="I63" s="27">
        <v>5.0999999999999996</v>
      </c>
      <c r="J63" s="28">
        <v>1.2094877710664085</v>
      </c>
      <c r="K63" s="31">
        <v>6.1683876324386828E-2</v>
      </c>
      <c r="M63" s="35"/>
      <c r="S63" s="37"/>
    </row>
    <row r="64" spans="1:19" s="2" customFormat="1" ht="17.399999999999999" x14ac:dyDescent="0.3">
      <c r="A64" s="23" t="s">
        <v>72</v>
      </c>
      <c r="C64" s="33"/>
      <c r="D64" s="34"/>
      <c r="E64" s="34"/>
      <c r="F64" s="34"/>
      <c r="G64" s="34"/>
      <c r="H64" s="24">
        <v>1.1945847086895434</v>
      </c>
      <c r="I64" s="27">
        <v>5.0999999999999996</v>
      </c>
      <c r="J64" s="28">
        <v>1.1945847086895434</v>
      </c>
      <c r="K64" s="31">
        <v>6.0923820143166711E-2</v>
      </c>
      <c r="M64" s="35"/>
      <c r="S64" s="37"/>
    </row>
    <row r="65" spans="1:19" s="2" customFormat="1" ht="17.399999999999999" x14ac:dyDescent="0.3">
      <c r="A65" s="23" t="s">
        <v>73</v>
      </c>
      <c r="C65" s="33"/>
      <c r="D65" s="34"/>
      <c r="E65" s="34"/>
      <c r="F65" s="34"/>
      <c r="G65" s="34"/>
      <c r="H65" s="24">
        <v>1.2236741067058317</v>
      </c>
      <c r="I65" s="27">
        <v>5.0999999999999996</v>
      </c>
      <c r="J65" s="28">
        <v>1.2236741067058317</v>
      </c>
      <c r="K65" s="31">
        <v>6.240737944199741E-2</v>
      </c>
      <c r="M65" s="35"/>
      <c r="S65" s="37"/>
    </row>
    <row r="66" spans="1:19" s="2" customFormat="1" ht="17.399999999999999" x14ac:dyDescent="0.3">
      <c r="A66" s="23" t="s">
        <v>74</v>
      </c>
      <c r="C66" s="33"/>
      <c r="D66" s="34"/>
      <c r="E66" s="34"/>
      <c r="F66" s="34"/>
      <c r="G66" s="34"/>
      <c r="H66" s="24">
        <v>1.2116029310514111</v>
      </c>
      <c r="I66" s="27">
        <v>4.212280701754386</v>
      </c>
      <c r="J66" s="28">
        <v>1.2116029310514111</v>
      </c>
      <c r="K66" s="31">
        <v>5.1036116446569094E-2</v>
      </c>
      <c r="M66" s="35"/>
      <c r="S66" s="37"/>
    </row>
    <row r="67" spans="1:19" s="2" customFormat="1" ht="17.399999999999999" x14ac:dyDescent="0.3">
      <c r="A67" s="23" t="s">
        <v>75</v>
      </c>
      <c r="C67" s="33"/>
      <c r="D67" s="34"/>
      <c r="E67" s="34"/>
      <c r="F67" s="34"/>
      <c r="G67" s="34"/>
      <c r="H67" s="24">
        <v>1.2156998151211311</v>
      </c>
      <c r="I67" s="27">
        <v>5.0999999999999996</v>
      </c>
      <c r="J67" s="28">
        <v>1.2156998151211311</v>
      </c>
      <c r="K67" s="31">
        <v>6.2000690571177686E-2</v>
      </c>
      <c r="M67" s="35"/>
      <c r="S67" s="37"/>
    </row>
    <row r="68" spans="1:19" s="2" customFormat="1" ht="17.399999999999999" x14ac:dyDescent="0.3">
      <c r="A68" s="23" t="s">
        <v>76</v>
      </c>
      <c r="C68" s="33"/>
      <c r="D68" s="34"/>
      <c r="E68" s="34"/>
      <c r="F68" s="34"/>
      <c r="G68" s="34"/>
      <c r="H68" s="24">
        <v>1.2443872815534218</v>
      </c>
      <c r="I68" s="27">
        <v>5.0999999999999996</v>
      </c>
      <c r="J68" s="28">
        <v>1.2443872815534218</v>
      </c>
      <c r="K68" s="31">
        <v>6.346375135922451E-2</v>
      </c>
      <c r="M68" s="35"/>
      <c r="S68" s="37"/>
    </row>
    <row r="69" spans="1:19" s="2" customFormat="1" ht="17.399999999999999" x14ac:dyDescent="0.3">
      <c r="A69" s="23" t="s">
        <v>77</v>
      </c>
      <c r="C69" s="33"/>
      <c r="D69" s="34"/>
      <c r="E69" s="34"/>
      <c r="F69" s="34"/>
      <c r="G69" s="34"/>
      <c r="H69" s="24">
        <v>1.2179212980955894</v>
      </c>
      <c r="I69" s="27">
        <v>5.0999999999999996</v>
      </c>
      <c r="J69" s="28">
        <v>1.2179212980955894</v>
      </c>
      <c r="K69" s="31">
        <v>6.2113986202875046E-2</v>
      </c>
      <c r="M69" s="35"/>
      <c r="S69" s="37"/>
    </row>
    <row r="70" spans="1:19" s="2" customFormat="1" ht="17.399999999999999" x14ac:dyDescent="0.3">
      <c r="A70" s="23" t="s">
        <v>78</v>
      </c>
      <c r="C70" s="33"/>
      <c r="D70" s="34"/>
      <c r="E70" s="34"/>
      <c r="F70" s="34"/>
      <c r="G70" s="34"/>
      <c r="H70" s="24">
        <v>1.1769803354539958</v>
      </c>
      <c r="I70" s="27">
        <v>5.0999999999999996</v>
      </c>
      <c r="J70" s="28">
        <v>1.1769803354539958</v>
      </c>
      <c r="K70" s="31">
        <v>6.0025997108153782E-2</v>
      </c>
      <c r="M70" s="35"/>
      <c r="S70" s="37"/>
    </row>
    <row r="71" spans="1:19" s="2" customFormat="1" ht="17.399999999999999" x14ac:dyDescent="0.3">
      <c r="A71" s="23" t="s">
        <v>79</v>
      </c>
      <c r="C71" s="33"/>
      <c r="D71" s="34"/>
      <c r="E71" s="34"/>
      <c r="F71" s="34"/>
      <c r="G71" s="34"/>
      <c r="H71" s="24">
        <v>0.98519894572432576</v>
      </c>
      <c r="I71" s="27">
        <v>5.0999999999999996</v>
      </c>
      <c r="J71" s="28">
        <v>0.98519894572432576</v>
      </c>
      <c r="K71" s="31">
        <v>5.024514623194061E-2</v>
      </c>
      <c r="M71" s="35"/>
      <c r="S71" s="37"/>
    </row>
    <row r="72" spans="1:19" s="2" customFormat="1" ht="17.399999999999999" x14ac:dyDescent="0.3">
      <c r="A72" s="23" t="s">
        <v>80</v>
      </c>
      <c r="C72" s="33"/>
      <c r="D72" s="34"/>
      <c r="E72" s="34"/>
      <c r="F72" s="34"/>
      <c r="G72" s="34"/>
      <c r="H72" s="24">
        <v>1.004</v>
      </c>
      <c r="I72" s="27">
        <v>5.0999999999999996</v>
      </c>
      <c r="J72" s="28">
        <v>1.004</v>
      </c>
      <c r="K72" s="31">
        <v>5.1204E-2</v>
      </c>
      <c r="M72" s="35"/>
      <c r="S72" s="37"/>
    </row>
    <row r="73" spans="1:19" s="2" customFormat="1" ht="17.399999999999999" x14ac:dyDescent="0.3">
      <c r="A73" s="23" t="s">
        <v>81</v>
      </c>
      <c r="C73" s="33"/>
      <c r="D73" s="34"/>
      <c r="E73" s="34"/>
      <c r="F73" s="34"/>
      <c r="G73" s="34"/>
      <c r="H73" s="24">
        <v>1.0449914587984159</v>
      </c>
      <c r="I73" s="27">
        <v>5.0999999999999996</v>
      </c>
      <c r="J73" s="28">
        <v>1.0449914587984159</v>
      </c>
      <c r="K73" s="31">
        <v>5.3294564398719206E-2</v>
      </c>
      <c r="M73" s="35"/>
      <c r="S73" s="37"/>
    </row>
    <row r="74" spans="1:19" s="2" customFormat="1" ht="17.399999999999999" x14ac:dyDescent="0.3">
      <c r="A74" s="23" t="s">
        <v>82</v>
      </c>
      <c r="C74" s="33"/>
      <c r="D74" s="34"/>
      <c r="E74" s="34"/>
      <c r="F74" s="34"/>
      <c r="G74" s="34"/>
      <c r="H74" s="24">
        <v>1.0586922251487794</v>
      </c>
      <c r="I74" s="27">
        <v>5.0999999999999996</v>
      </c>
      <c r="J74" s="28">
        <v>1.0586922251487794</v>
      </c>
      <c r="K74" s="31">
        <v>5.3993303482587747E-2</v>
      </c>
      <c r="M74" s="35"/>
      <c r="S74" s="37"/>
    </row>
    <row r="75" spans="1:19" s="2" customFormat="1" ht="17.399999999999999" x14ac:dyDescent="0.3">
      <c r="A75" s="23" t="s">
        <v>83</v>
      </c>
      <c r="C75" s="33"/>
      <c r="D75" s="34"/>
      <c r="E75" s="34"/>
      <c r="F75" s="34"/>
      <c r="G75" s="34"/>
      <c r="H75" s="24">
        <v>1.0332185507246467</v>
      </c>
      <c r="I75" s="27">
        <v>5.0999999999999996</v>
      </c>
      <c r="J75" s="28">
        <v>1.0332185507246467</v>
      </c>
      <c r="K75" s="31">
        <v>5.2694146086956974E-2</v>
      </c>
      <c r="M75" s="35"/>
      <c r="S75" s="37"/>
    </row>
    <row r="76" spans="1:19" s="2" customFormat="1" ht="17.399999999999999" x14ac:dyDescent="0.3">
      <c r="A76" s="23" t="s">
        <v>84</v>
      </c>
      <c r="C76" s="33"/>
      <c r="D76" s="34"/>
      <c r="E76" s="34"/>
      <c r="F76" s="34"/>
      <c r="G76" s="34"/>
      <c r="H76" s="24">
        <v>1.0275611969112171</v>
      </c>
      <c r="I76" s="27">
        <v>5.0999999999999996</v>
      </c>
      <c r="J76" s="28">
        <v>1.0275611969112171</v>
      </c>
      <c r="K76" s="31">
        <v>5.2405621042472067E-2</v>
      </c>
      <c r="M76" s="35"/>
      <c r="S76" s="37"/>
    </row>
    <row r="77" spans="1:19" s="2" customFormat="1" ht="17.399999999999999" x14ac:dyDescent="0.3">
      <c r="A77" s="23" t="s">
        <v>85</v>
      </c>
      <c r="C77" s="33"/>
      <c r="D77" s="34"/>
      <c r="E77" s="34"/>
      <c r="F77" s="34"/>
      <c r="G77" s="34"/>
      <c r="H77" s="24">
        <v>1.0143989717722595</v>
      </c>
      <c r="I77" s="27">
        <v>5.2</v>
      </c>
      <c r="J77" s="28">
        <v>1.0143989717722595</v>
      </c>
      <c r="K77" s="31">
        <v>5.2748746532157498E-2</v>
      </c>
      <c r="M77" s="35"/>
      <c r="S77" s="37"/>
    </row>
    <row r="78" spans="1:19" s="2" customFormat="1" ht="17.399999999999999" x14ac:dyDescent="0.3">
      <c r="A78" s="23" t="s">
        <v>86</v>
      </c>
      <c r="C78" s="33"/>
      <c r="D78" s="34"/>
      <c r="E78" s="34"/>
      <c r="F78" s="34"/>
      <c r="G78" s="34"/>
      <c r="H78" s="24">
        <v>1.0480739213806491</v>
      </c>
      <c r="I78" s="27">
        <v>5.2</v>
      </c>
      <c r="J78" s="28">
        <v>1.0480739213806491</v>
      </c>
      <c r="K78" s="31">
        <v>5.4499843911793758E-2</v>
      </c>
      <c r="M78" s="35"/>
      <c r="S78" s="37"/>
    </row>
    <row r="79" spans="1:19" s="2" customFormat="1" ht="17.399999999999999" x14ac:dyDescent="0.3">
      <c r="A79" s="23" t="s">
        <v>87</v>
      </c>
      <c r="C79" s="33"/>
      <c r="D79" s="34"/>
      <c r="E79" s="34"/>
      <c r="F79" s="34"/>
      <c r="G79" s="34"/>
      <c r="H79" s="24">
        <v>1.086396182764614</v>
      </c>
      <c r="I79" s="27">
        <v>5.2</v>
      </c>
      <c r="J79" s="28">
        <v>1.086396182764614</v>
      </c>
      <c r="K79" s="31">
        <v>5.6492601503759933E-2</v>
      </c>
      <c r="M79" s="35"/>
      <c r="S79" s="37"/>
    </row>
    <row r="80" spans="1:19" s="2" customFormat="1" ht="17.399999999999999" x14ac:dyDescent="0.3">
      <c r="A80" s="23" t="s">
        <v>88</v>
      </c>
      <c r="C80" s="33"/>
      <c r="D80" s="34"/>
      <c r="E80" s="34"/>
      <c r="F80" s="34"/>
      <c r="G80" s="34"/>
      <c r="H80" s="24">
        <v>1.1039049956684963</v>
      </c>
      <c r="I80" s="27">
        <v>5.3</v>
      </c>
      <c r="J80" s="28">
        <v>1.1039049956684963</v>
      </c>
      <c r="K80" s="31">
        <v>5.8506964770430298E-2</v>
      </c>
      <c r="M80" s="35"/>
      <c r="S80" s="37"/>
    </row>
    <row r="81" spans="1:19" s="2" customFormat="1" ht="17.399999999999999" x14ac:dyDescent="0.3">
      <c r="A81" s="23" t="s">
        <v>89</v>
      </c>
      <c r="C81" s="33"/>
      <c r="D81" s="34"/>
      <c r="E81" s="34"/>
      <c r="F81" s="34"/>
      <c r="G81" s="34"/>
      <c r="H81" s="24">
        <v>1.1655278941355665</v>
      </c>
      <c r="I81" s="27">
        <v>5.3</v>
      </c>
      <c r="J81" s="28">
        <v>1.1655278941355665</v>
      </c>
      <c r="K81" s="31">
        <v>6.1772978389185024E-2</v>
      </c>
      <c r="M81" s="35"/>
      <c r="S81" s="37"/>
    </row>
    <row r="82" spans="1:19" s="2" customFormat="1" ht="17.399999999999999" x14ac:dyDescent="0.3">
      <c r="A82" s="23" t="s">
        <v>90</v>
      </c>
      <c r="C82" s="33"/>
      <c r="D82" s="34"/>
      <c r="E82" s="34"/>
      <c r="F82" s="34"/>
      <c r="G82" s="34"/>
      <c r="H82" s="24">
        <v>1.1777962945185561</v>
      </c>
      <c r="I82" s="27">
        <v>5.3</v>
      </c>
      <c r="J82" s="28">
        <v>1.1777962945185561</v>
      </c>
      <c r="K82" s="31">
        <v>6.2423203609483474E-2</v>
      </c>
      <c r="M82" s="35"/>
      <c r="S82" s="37"/>
    </row>
    <row r="83" spans="1:19" s="2" customFormat="1" ht="17.399999999999999" x14ac:dyDescent="0.3">
      <c r="A83" s="23" t="s">
        <v>91</v>
      </c>
      <c r="C83" s="33"/>
      <c r="D83" s="34"/>
      <c r="E83" s="34"/>
      <c r="F83" s="34"/>
      <c r="G83" s="34"/>
      <c r="H83" s="24">
        <v>1.1942509352517887</v>
      </c>
      <c r="I83" s="27">
        <v>5.3</v>
      </c>
      <c r="J83" s="28">
        <v>1.1942509352517887</v>
      </c>
      <c r="K83" s="31">
        <v>6.3295299568344801E-2</v>
      </c>
      <c r="M83" s="35"/>
      <c r="S83" s="37"/>
    </row>
    <row r="84" spans="1:19" s="2" customFormat="1" ht="17.399999999999999" x14ac:dyDescent="0.3">
      <c r="A84" s="23" t="s">
        <v>92</v>
      </c>
      <c r="C84" s="33"/>
      <c r="D84" s="34"/>
      <c r="E84" s="34"/>
      <c r="F84" s="34"/>
      <c r="G84" s="34"/>
      <c r="H84" s="24">
        <v>1.2106969318072576</v>
      </c>
      <c r="I84" s="27">
        <v>5.3</v>
      </c>
      <c r="J84" s="28">
        <v>1.2106969318072576</v>
      </c>
      <c r="K84" s="31">
        <v>6.4166937385784648E-2</v>
      </c>
      <c r="M84" s="35"/>
      <c r="S84" s="37"/>
    </row>
    <row r="85" spans="1:19" ht="17.399999999999999" x14ac:dyDescent="0.3">
      <c r="A85" s="23" t="s">
        <v>93</v>
      </c>
      <c r="B85" s="2"/>
      <c r="C85" s="33"/>
      <c r="D85" s="34"/>
      <c r="E85" s="34"/>
      <c r="F85" s="34"/>
      <c r="G85" s="34"/>
      <c r="H85" s="24">
        <v>1.2438118412611343</v>
      </c>
      <c r="I85" s="36">
        <v>5.3</v>
      </c>
      <c r="J85" s="28">
        <v>1.2438118412611343</v>
      </c>
      <c r="K85" s="31">
        <v>6.5922027586840126E-2</v>
      </c>
      <c r="M85" s="35"/>
      <c r="O85" s="52" t="s">
        <v>94</v>
      </c>
      <c r="S85" s="37"/>
    </row>
    <row r="86" spans="1:19" ht="17.399999999999999" x14ac:dyDescent="0.3">
      <c r="A86" s="23" t="s">
        <v>95</v>
      </c>
      <c r="B86" s="2"/>
      <c r="C86" s="33"/>
      <c r="D86" s="34"/>
      <c r="E86" s="34"/>
      <c r="F86" s="34"/>
      <c r="G86" s="34"/>
      <c r="H86" s="24">
        <v>1.2643713111009696</v>
      </c>
      <c r="I86" s="36">
        <v>5.3</v>
      </c>
      <c r="J86" s="28">
        <v>1.2643713111009696</v>
      </c>
      <c r="K86" s="31">
        <v>6.7011679488351378E-2</v>
      </c>
      <c r="M86" s="35"/>
      <c r="S86" s="37"/>
    </row>
    <row r="87" spans="1:19" ht="17.399999999999999" x14ac:dyDescent="0.3">
      <c r="A87" s="23" t="s">
        <v>96</v>
      </c>
      <c r="B87" s="2"/>
      <c r="C87" s="33"/>
      <c r="D87" s="34"/>
      <c r="E87" s="34"/>
      <c r="F87" s="34"/>
      <c r="G87" s="34"/>
      <c r="H87" s="24">
        <v>1.2556415059518582</v>
      </c>
      <c r="I87" s="36">
        <v>5.3</v>
      </c>
      <c r="J87" s="28">
        <v>1.2556415059518582</v>
      </c>
      <c r="K87" s="31">
        <v>6.6548999815448484E-2</v>
      </c>
      <c r="M87" s="35"/>
      <c r="S87" s="37"/>
    </row>
    <row r="88" spans="1:19" ht="17.399999999999999" x14ac:dyDescent="0.3">
      <c r="A88" s="23" t="s">
        <v>97</v>
      </c>
      <c r="B88" s="2"/>
      <c r="C88" s="33"/>
      <c r="D88" s="34"/>
      <c r="E88" s="34"/>
      <c r="F88" s="34"/>
      <c r="G88" s="34"/>
      <c r="H88" s="24">
        <v>1.3038179987183178</v>
      </c>
      <c r="I88" s="36">
        <v>5.3</v>
      </c>
      <c r="J88" s="28">
        <v>1.3038179987183178</v>
      </c>
      <c r="K88" s="31">
        <v>6.9102353932070842E-2</v>
      </c>
      <c r="M88" s="35"/>
      <c r="S88" s="37"/>
    </row>
    <row r="89" spans="1:19" ht="17.399999999999999" x14ac:dyDescent="0.3">
      <c r="A89" s="23" t="s">
        <v>98</v>
      </c>
      <c r="B89" s="2"/>
      <c r="C89" s="33"/>
      <c r="D89" s="34"/>
      <c r="E89" s="34"/>
      <c r="F89" s="34"/>
      <c r="G89" s="34"/>
      <c r="H89" s="24">
        <v>1.3736228953147942</v>
      </c>
      <c r="I89" s="36">
        <v>5.3</v>
      </c>
      <c r="J89" s="28">
        <v>1.3736228953147942</v>
      </c>
      <c r="K89" s="31">
        <v>7.2802013451684092E-2</v>
      </c>
      <c r="M89" s="35"/>
      <c r="S89" s="37"/>
    </row>
    <row r="90" spans="1:19" ht="17.399999999999999" x14ac:dyDescent="0.3">
      <c r="A90" s="23" t="s">
        <v>99</v>
      </c>
      <c r="B90" s="2"/>
      <c r="C90" s="33"/>
      <c r="D90" s="34"/>
      <c r="E90" s="34"/>
      <c r="F90" s="34"/>
      <c r="G90" s="34"/>
      <c r="H90" s="24">
        <v>1.3494897865714164</v>
      </c>
      <c r="I90" s="36">
        <v>5.3</v>
      </c>
      <c r="J90" s="28">
        <v>1.3494897865714164</v>
      </c>
      <c r="K90" s="31">
        <v>7.1522958688285065E-2</v>
      </c>
      <c r="M90" s="35"/>
      <c r="S90" s="37"/>
    </row>
    <row r="91" spans="1:19" x14ac:dyDescent="0.25">
      <c r="A91" s="23" t="s">
        <v>100</v>
      </c>
      <c r="B91" s="2"/>
      <c r="C91" s="33"/>
      <c r="D91" s="34"/>
      <c r="E91" s="34"/>
      <c r="F91" s="34"/>
      <c r="G91" s="34"/>
      <c r="H91" s="24">
        <v>1.3375040881947868</v>
      </c>
      <c r="I91" s="36">
        <v>5.3</v>
      </c>
      <c r="J91" s="28">
        <v>1.3375040881947868</v>
      </c>
      <c r="K91" s="31">
        <v>7.0887716674323697E-2</v>
      </c>
      <c r="S91" s="37"/>
    </row>
    <row r="92" spans="1:19" ht="17.399999999999999" x14ac:dyDescent="0.3">
      <c r="A92" s="23" t="s">
        <v>101</v>
      </c>
      <c r="B92" s="2"/>
      <c r="C92" s="33"/>
      <c r="D92" s="34"/>
      <c r="E92" s="34"/>
      <c r="F92" s="34"/>
      <c r="G92" s="34"/>
      <c r="H92" s="24">
        <v>1.4043959019392462</v>
      </c>
      <c r="I92" s="36">
        <v>5.3</v>
      </c>
      <c r="J92" s="28">
        <v>1.4043959019392462</v>
      </c>
      <c r="K92" s="31">
        <v>7.4432982802780046E-2</v>
      </c>
      <c r="M92" s="35"/>
      <c r="S92" s="37"/>
    </row>
    <row r="93" spans="1:19" ht="17.399999999999999" x14ac:dyDescent="0.3">
      <c r="A93" s="23" t="s">
        <v>102</v>
      </c>
      <c r="B93" s="2"/>
      <c r="C93" s="33"/>
      <c r="D93" s="34"/>
      <c r="E93" s="34"/>
      <c r="F93" s="34"/>
      <c r="G93" s="34"/>
      <c r="H93" s="24">
        <v>1.4947470077661242</v>
      </c>
      <c r="I93" s="53">
        <v>5.3</v>
      </c>
      <c r="J93" s="28">
        <v>1.4947470077661242</v>
      </c>
      <c r="K93" s="31">
        <v>7.9221591411604578E-2</v>
      </c>
      <c r="M93" s="35"/>
      <c r="S93" s="37"/>
    </row>
    <row r="94" spans="1:19" ht="17.399999999999999" x14ac:dyDescent="0.3">
      <c r="A94" s="23" t="s">
        <v>103</v>
      </c>
      <c r="B94" s="2"/>
      <c r="C94" s="33"/>
      <c r="D94" s="34"/>
      <c r="E94" s="34"/>
      <c r="F94" s="34"/>
      <c r="G94" s="34"/>
      <c r="H94" s="24">
        <v>1.8218240453133705</v>
      </c>
      <c r="I94" s="51">
        <v>4.4177777777777782</v>
      </c>
      <c r="J94" s="28">
        <f>(H94/1.21)-0.2</f>
        <v>1.3056397068705543</v>
      </c>
      <c r="K94" s="31">
        <f>(I94*J94*1.21)/100</f>
        <v>6.9793115601844022E-2</v>
      </c>
      <c r="M94" s="35"/>
      <c r="S94" s="37"/>
    </row>
    <row r="95" spans="1:19" ht="17.399999999999999" x14ac:dyDescent="0.3">
      <c r="A95" s="23" t="s">
        <v>104</v>
      </c>
      <c r="B95" s="2"/>
      <c r="C95" s="33"/>
      <c r="D95" s="34"/>
      <c r="E95" s="34"/>
      <c r="F95" s="34"/>
      <c r="G95" s="34"/>
      <c r="H95" s="24">
        <v>1.8549514288323017</v>
      </c>
      <c r="I95" s="51">
        <v>4.4200000000000008</v>
      </c>
      <c r="J95" s="28">
        <f>(H95/1.21)-0.2</f>
        <v>1.3330177097787619</v>
      </c>
      <c r="K95" s="31">
        <f>(I95*J95*1.21)/100</f>
        <v>7.1292453154387758E-2</v>
      </c>
      <c r="M95" s="35"/>
      <c r="S95" s="37"/>
    </row>
    <row r="96" spans="1:19" ht="17.399999999999999" x14ac:dyDescent="0.3">
      <c r="A96" s="23" t="s">
        <v>105</v>
      </c>
      <c r="B96" s="2"/>
      <c r="C96" s="33"/>
      <c r="D96" s="34"/>
      <c r="E96" s="34"/>
      <c r="F96" s="34"/>
      <c r="G96" s="34"/>
      <c r="H96" s="24">
        <v>1.90752978801166</v>
      </c>
      <c r="I96" s="51">
        <v>4.4347826086956532</v>
      </c>
      <c r="J96" s="28">
        <f>(H96/1.21)-0.2</f>
        <v>1.3764708991831902</v>
      </c>
      <c r="K96" s="31">
        <f>(I96*J96*1.21)/100</f>
        <v>7.3862625381386687E-2</v>
      </c>
      <c r="M96" s="35"/>
      <c r="S96" s="37"/>
    </row>
    <row r="97" spans="1:19" ht="17.399999999999999" x14ac:dyDescent="0.3">
      <c r="A97" s="23" t="s">
        <v>106</v>
      </c>
      <c r="B97" s="2"/>
      <c r="C97" s="33"/>
      <c r="D97" s="34"/>
      <c r="E97" s="34"/>
      <c r="F97" s="34"/>
      <c r="G97" s="34"/>
      <c r="H97" s="24">
        <v>2.059484884464331</v>
      </c>
      <c r="I97" s="51">
        <v>4.4347826086956532</v>
      </c>
      <c r="J97" s="28">
        <f>(H97/1.21)-0.2</f>
        <v>1.5020536235242405</v>
      </c>
      <c r="K97" s="31">
        <f>(I97*J97*1.21)/100</f>
        <v>8.0601503571896438E-2</v>
      </c>
      <c r="M97" s="35"/>
      <c r="S97" s="37"/>
    </row>
    <row r="98" spans="1:19" ht="17.399999999999999" x14ac:dyDescent="0.3">
      <c r="A98" s="23" t="s">
        <v>107</v>
      </c>
      <c r="B98" s="2"/>
      <c r="C98" s="33"/>
      <c r="D98" s="34"/>
      <c r="E98" s="34"/>
      <c r="F98" s="34"/>
      <c r="G98" s="34"/>
      <c r="H98" s="24">
        <v>1.8840664536741636</v>
      </c>
      <c r="I98" s="51">
        <v>4.442222222222223</v>
      </c>
      <c r="J98" s="28">
        <v>1.3570797137803006</v>
      </c>
      <c r="K98" s="31">
        <v>7.294424090877008E-2</v>
      </c>
      <c r="M98" s="35"/>
      <c r="S98" s="37"/>
    </row>
    <row r="99" spans="1:19" ht="17.399999999999999" x14ac:dyDescent="0.3">
      <c r="A99" s="23" t="s">
        <v>108</v>
      </c>
      <c r="B99" s="2"/>
      <c r="C99" s="33"/>
      <c r="D99" s="34"/>
      <c r="E99" s="34"/>
      <c r="F99" s="34"/>
      <c r="G99" s="34"/>
      <c r="H99" s="24">
        <v>1.9024147633838604</v>
      </c>
      <c r="I99" s="51">
        <v>4.45</v>
      </c>
      <c r="J99" s="28">
        <v>1.372243606102364</v>
      </c>
      <c r="K99" s="31">
        <v>7.3888456970581787E-2</v>
      </c>
      <c r="M99" s="35"/>
      <c r="S99" s="37"/>
    </row>
    <row r="100" spans="1:19" ht="17.399999999999999" x14ac:dyDescent="0.3">
      <c r="A100" s="23" t="s">
        <v>109</v>
      </c>
      <c r="B100" s="2"/>
      <c r="C100" s="33"/>
      <c r="D100" s="34"/>
      <c r="E100" s="34"/>
      <c r="F100" s="34"/>
      <c r="G100" s="34"/>
      <c r="H100" s="24">
        <v>1.7988928049671298</v>
      </c>
      <c r="I100" s="51">
        <v>4.4488372093023267</v>
      </c>
      <c r="J100" s="28">
        <v>1.286688268567876</v>
      </c>
      <c r="K100" s="31">
        <v>6.9263626416328383E-2</v>
      </c>
      <c r="M100" s="35"/>
      <c r="S100" s="37"/>
    </row>
    <row r="101" spans="1:19" ht="17.399999999999999" x14ac:dyDescent="0.3">
      <c r="A101" s="23" t="s">
        <v>110</v>
      </c>
      <c r="B101" s="2"/>
      <c r="C101" s="33"/>
      <c r="D101" s="34"/>
      <c r="E101" s="34"/>
      <c r="F101" s="34"/>
      <c r="G101" s="34"/>
      <c r="H101" s="24">
        <v>1.9537006666057701</v>
      </c>
      <c r="I101" s="51">
        <v>4.4452380952380954</v>
      </c>
      <c r="J101" s="28">
        <v>1.4146286500874135</v>
      </c>
      <c r="K101" s="31">
        <v>7.6089170108404117E-2</v>
      </c>
      <c r="M101" s="35"/>
      <c r="S101" s="37"/>
    </row>
    <row r="102" spans="1:19" ht="17.399999999999999" x14ac:dyDescent="0.3">
      <c r="A102" s="23" t="s">
        <v>111</v>
      </c>
      <c r="B102" s="2"/>
      <c r="C102" s="33"/>
      <c r="D102" s="34"/>
      <c r="E102" s="34"/>
      <c r="F102" s="34"/>
      <c r="G102" s="34"/>
      <c r="H102" s="24">
        <v>1.7587015620718063</v>
      </c>
      <c r="I102" s="51">
        <v>4.4636363636363647</v>
      </c>
      <c r="J102" s="28">
        <v>1.2534723653486004</v>
      </c>
      <c r="K102" s="31">
        <v>6.7700042452477918E-2</v>
      </c>
      <c r="M102" s="35"/>
      <c r="S102" s="37"/>
    </row>
    <row r="103" spans="1:19" ht="17.399999999999999" x14ac:dyDescent="0.3">
      <c r="A103" s="23" t="s">
        <v>112</v>
      </c>
      <c r="B103" s="2"/>
      <c r="C103" s="33"/>
      <c r="D103" s="34"/>
      <c r="E103" s="34"/>
      <c r="F103" s="34"/>
      <c r="G103" s="34"/>
      <c r="H103" s="24">
        <v>1.6559338351128996</v>
      </c>
      <c r="I103" s="51">
        <v>4.4636363636363647</v>
      </c>
      <c r="J103" s="28">
        <v>1.6559338351128996</v>
      </c>
      <c r="K103" s="31">
        <v>7.3914864821857634E-2</v>
      </c>
      <c r="M103" s="35"/>
      <c r="O103" t="s">
        <v>113</v>
      </c>
      <c r="S103" s="37"/>
    </row>
    <row r="104" spans="1:19" ht="17.399999999999999" x14ac:dyDescent="0.3">
      <c r="A104" s="23" t="s">
        <v>114</v>
      </c>
      <c r="B104" s="2"/>
      <c r="C104" s="33"/>
      <c r="D104" s="34"/>
      <c r="E104" s="34"/>
      <c r="F104" s="34"/>
      <c r="G104" s="34"/>
      <c r="H104" s="24">
        <v>1.6800701585354931</v>
      </c>
      <c r="I104" s="51">
        <v>4.4651162790697674</v>
      </c>
      <c r="J104" s="28">
        <v>1.6800701585354931</v>
      </c>
      <c r="K104" s="31">
        <v>7.5017086148561549E-2</v>
      </c>
      <c r="M104" s="35"/>
      <c r="S104" s="37"/>
    </row>
    <row r="105" spans="1:19" ht="17.399999999999999" x14ac:dyDescent="0.3">
      <c r="A105" s="23" t="s">
        <v>115</v>
      </c>
      <c r="B105" s="2"/>
      <c r="C105" s="33"/>
      <c r="D105" s="34"/>
      <c r="E105" s="34"/>
      <c r="F105" s="34"/>
      <c r="G105" s="34"/>
      <c r="H105" s="24">
        <v>1.5873575768095949</v>
      </c>
      <c r="I105" s="51">
        <v>4.4666666666666668</v>
      </c>
      <c r="J105" s="28">
        <v>1.5873575768095949</v>
      </c>
      <c r="K105" s="31">
        <v>7.0901971764161908E-2</v>
      </c>
      <c r="M105" s="35"/>
      <c r="S105" s="37"/>
    </row>
    <row r="106" spans="1:19" ht="17.399999999999999" x14ac:dyDescent="0.3">
      <c r="A106" s="23" t="s">
        <v>204</v>
      </c>
      <c r="B106" s="2"/>
      <c r="C106" s="33"/>
      <c r="D106" s="34"/>
      <c r="E106" s="34"/>
      <c r="F106" s="34"/>
      <c r="G106" s="34"/>
      <c r="H106" s="24">
        <v>1.5181213672248015</v>
      </c>
      <c r="I106" s="51">
        <v>4.47</v>
      </c>
      <c r="J106" s="28">
        <v>1.5181213672248015</v>
      </c>
      <c r="K106" s="31">
        <v>6.7860025114948624E-2</v>
      </c>
      <c r="M106" s="35"/>
      <c r="S106" s="37"/>
    </row>
    <row r="107" spans="1:19" ht="17.399999999999999" x14ac:dyDescent="0.3">
      <c r="A107" s="23" t="s">
        <v>203</v>
      </c>
      <c r="B107" s="2"/>
      <c r="C107" s="33"/>
      <c r="D107" s="34"/>
      <c r="E107" s="34"/>
      <c r="F107" s="34"/>
      <c r="G107" s="34"/>
      <c r="H107" s="24">
        <v>1.4599079450626014</v>
      </c>
      <c r="I107" s="51">
        <v>4.5317073170731721</v>
      </c>
      <c r="J107" s="28">
        <v>1.4599079450626014</v>
      </c>
      <c r="K107" s="31">
        <v>6.6158755168934491E-2</v>
      </c>
      <c r="M107" s="35"/>
      <c r="S107" s="37"/>
    </row>
    <row r="108" spans="1:19" ht="16.5" customHeight="1" x14ac:dyDescent="0.3">
      <c r="A108" s="23" t="s">
        <v>212</v>
      </c>
      <c r="B108" s="2"/>
      <c r="C108" s="33"/>
      <c r="D108" s="34"/>
      <c r="E108" s="34"/>
      <c r="F108" s="34"/>
      <c r="G108" s="34"/>
      <c r="H108" s="24">
        <v>1.4111506060870291</v>
      </c>
      <c r="I108" s="51">
        <v>4.5108108108108125</v>
      </c>
      <c r="J108" s="28">
        <v>1.4111506060870291</v>
      </c>
      <c r="K108" s="31">
        <v>6.3654334096196016E-2</v>
      </c>
      <c r="M108" s="35"/>
      <c r="S108" s="37"/>
    </row>
    <row r="109" spans="1:19" ht="17.399999999999999" x14ac:dyDescent="0.3">
      <c r="A109" s="23" t="s">
        <v>215</v>
      </c>
      <c r="B109" s="2"/>
      <c r="C109" s="33"/>
      <c r="D109" s="34"/>
      <c r="E109" s="34"/>
      <c r="F109" s="34"/>
      <c r="G109" s="34"/>
      <c r="H109" s="24">
        <v>1.42911628312414</v>
      </c>
      <c r="I109" s="51">
        <v>4.5444444444444461</v>
      </c>
      <c r="J109" s="28">
        <v>1.42911628312414</v>
      </c>
      <c r="K109" s="31">
        <v>6.4945395533085939E-2</v>
      </c>
      <c r="M109" s="35"/>
      <c r="S109" s="37"/>
    </row>
    <row r="110" spans="1:19" ht="17.399999999999999" x14ac:dyDescent="0.3">
      <c r="A110" s="23" t="s">
        <v>221</v>
      </c>
      <c r="B110" s="2"/>
      <c r="C110" s="33"/>
      <c r="D110" s="34"/>
      <c r="E110" s="34"/>
      <c r="F110" s="34"/>
      <c r="G110" s="34"/>
      <c r="H110" s="24">
        <v>1.5323339991315843</v>
      </c>
      <c r="I110" s="51">
        <v>4.5571428571428578</v>
      </c>
      <c r="J110" s="28">
        <v>1.5323339991315843</v>
      </c>
      <c r="K110" s="31">
        <v>6.9830649388996496E-2</v>
      </c>
      <c r="M110" s="35"/>
      <c r="S110" s="37"/>
    </row>
    <row r="111" spans="1:19" ht="17.399999999999999" x14ac:dyDescent="0.3">
      <c r="A111" s="23" t="s">
        <v>223</v>
      </c>
      <c r="B111" s="2"/>
      <c r="C111" s="33"/>
      <c r="D111" s="34"/>
      <c r="E111" s="34"/>
      <c r="F111" s="34"/>
      <c r="G111" s="34"/>
      <c r="H111" s="24">
        <v>1.6105956431175159</v>
      </c>
      <c r="I111" s="51">
        <v>4.5617647058823536</v>
      </c>
      <c r="J111" s="28">
        <v>1.6105956431175159</v>
      </c>
      <c r="K111" s="31">
        <v>7.3471583602213744E-2</v>
      </c>
      <c r="M111" s="35"/>
      <c r="S111" s="37"/>
    </row>
    <row r="112" spans="1:19" ht="17.399999999999999" x14ac:dyDescent="0.3">
      <c r="A112" s="23" t="s">
        <v>224</v>
      </c>
      <c r="B112" s="2"/>
      <c r="C112" s="33"/>
      <c r="D112" s="34"/>
      <c r="E112" s="34"/>
      <c r="F112" s="34"/>
      <c r="G112" s="34"/>
      <c r="H112" s="24">
        <v>1.6725919325393146</v>
      </c>
      <c r="I112" s="51">
        <v>4.5617647058823536</v>
      </c>
      <c r="J112" s="28">
        <v>1.6725919325393146</v>
      </c>
      <c r="K112" s="31">
        <v>7.6299708452014045E-2</v>
      </c>
      <c r="M112" s="35"/>
      <c r="S112" s="37"/>
    </row>
    <row r="113" spans="1:19" ht="17.399999999999999" x14ac:dyDescent="0.3">
      <c r="A113" s="23" t="s">
        <v>229</v>
      </c>
      <c r="B113" s="2"/>
      <c r="C113" s="33"/>
      <c r="D113" s="34"/>
      <c r="E113" s="34"/>
      <c r="F113" s="34"/>
      <c r="G113" s="34"/>
      <c r="H113" s="24">
        <v>1.6215218529180913</v>
      </c>
      <c r="I113" s="51">
        <v>4.5685714285714294</v>
      </c>
      <c r="J113" s="28">
        <v>1.6215218529180913</v>
      </c>
      <c r="K113" s="31">
        <v>7.4080384080457959E-2</v>
      </c>
      <c r="M113" s="35"/>
      <c r="S113" s="37"/>
    </row>
    <row r="114" spans="1:19" ht="17.399999999999999" x14ac:dyDescent="0.3">
      <c r="A114" s="23" t="s">
        <v>230</v>
      </c>
      <c r="B114" s="2"/>
      <c r="C114" s="33"/>
      <c r="D114" s="34"/>
      <c r="E114" s="34"/>
      <c r="F114" s="34"/>
      <c r="G114" s="34"/>
      <c r="H114" s="24">
        <v>1.5219407894737058</v>
      </c>
      <c r="I114" s="51">
        <v>4.5685714285714294</v>
      </c>
      <c r="J114" s="28">
        <v>1.5219407894737058</v>
      </c>
      <c r="K114" s="31">
        <v>6.9530952067670168E-2</v>
      </c>
      <c r="M114" s="35"/>
      <c r="S114" s="37"/>
    </row>
    <row r="115" spans="1:19" ht="17.399999999999999" x14ac:dyDescent="0.3">
      <c r="A115" s="23" t="s">
        <v>232</v>
      </c>
      <c r="B115" s="2"/>
      <c r="C115" s="33"/>
      <c r="D115" s="34"/>
      <c r="E115" s="34"/>
      <c r="F115" s="34"/>
      <c r="G115" s="34"/>
      <c r="H115" s="24">
        <v>1.4811502885119949</v>
      </c>
      <c r="I115" s="51">
        <v>4.5685714285714294</v>
      </c>
      <c r="J115" s="28">
        <v>1.4811502885119949</v>
      </c>
      <c r="K115" s="31">
        <v>6.766740889516229E-2</v>
      </c>
      <c r="M115" s="35"/>
      <c r="S115" s="37"/>
    </row>
    <row r="116" spans="1:19" ht="17.399999999999999" x14ac:dyDescent="0.3">
      <c r="A116" s="23" t="s">
        <v>233</v>
      </c>
      <c r="B116" s="2"/>
      <c r="C116" s="33"/>
      <c r="D116" s="34"/>
      <c r="E116" s="34"/>
      <c r="F116" s="34"/>
      <c r="G116" s="34"/>
      <c r="H116" s="24">
        <v>1.5068877893468851</v>
      </c>
      <c r="I116" s="51">
        <v>4.5685714285714267</v>
      </c>
      <c r="J116" s="28">
        <v>1.5068877893468851</v>
      </c>
      <c r="K116" s="31">
        <v>6.8843245004733378E-2</v>
      </c>
      <c r="M116" s="35"/>
      <c r="S116" s="37"/>
    </row>
    <row r="117" spans="1:19" ht="17.399999999999999" x14ac:dyDescent="0.3">
      <c r="A117" s="23" t="s">
        <v>236</v>
      </c>
      <c r="B117" s="2"/>
      <c r="C117" s="33"/>
      <c r="D117" s="34"/>
      <c r="E117" s="34"/>
      <c r="F117" s="34"/>
      <c r="G117" s="34"/>
      <c r="H117" s="24">
        <v>1.5469299550328528</v>
      </c>
      <c r="I117" s="51">
        <v>4.5571428571428543</v>
      </c>
      <c r="J117" s="28">
        <v>1.5469299550328528</v>
      </c>
      <c r="K117" s="31">
        <v>7.0495807950782821E-2</v>
      </c>
      <c r="M117" s="35"/>
      <c r="S117" s="37"/>
    </row>
    <row r="118" spans="1:19" x14ac:dyDescent="0.25">
      <c r="A118" s="23" t="s">
        <v>239</v>
      </c>
      <c r="B118" s="2"/>
      <c r="C118" s="33"/>
      <c r="D118" s="34"/>
      <c r="E118" s="34"/>
      <c r="F118" s="34"/>
      <c r="G118" s="34"/>
      <c r="H118" s="24">
        <v>1.5322738538868126</v>
      </c>
      <c r="I118" s="51">
        <v>4.5558823529411745</v>
      </c>
      <c r="J118" s="28">
        <v>1.5322738538868126</v>
      </c>
      <c r="K118" s="31">
        <v>6.9808594107960933E-2</v>
      </c>
      <c r="L118">
        <v>1.632118</v>
      </c>
      <c r="M118" s="51">
        <v>5.8</v>
      </c>
      <c r="N118" s="28">
        <v>1.632118</v>
      </c>
      <c r="O118" s="31">
        <v>9.4662843999999996E-2</v>
      </c>
      <c r="S118" s="37"/>
    </row>
    <row r="119" spans="1:19" x14ac:dyDescent="0.25">
      <c r="A119" s="23" t="s">
        <v>247</v>
      </c>
      <c r="B119" s="2"/>
      <c r="C119" s="33"/>
      <c r="D119" s="34"/>
      <c r="E119" s="34"/>
      <c r="F119" s="34"/>
      <c r="G119" s="34"/>
      <c r="H119" s="24">
        <v>1.5280225870906272</v>
      </c>
      <c r="I119" s="51">
        <v>4.5558823529411745</v>
      </c>
      <c r="J119" s="28">
        <v>1.5280225870906272</v>
      </c>
      <c r="K119" s="31">
        <v>6.9614911394217077E-2</v>
      </c>
      <c r="L119">
        <v>1.6779389561975724</v>
      </c>
      <c r="M119" s="51">
        <v>5.8</v>
      </c>
      <c r="N119" s="28">
        <v>1.6779389561975724</v>
      </c>
      <c r="O119" s="31">
        <v>9.7320459459459205E-2</v>
      </c>
      <c r="S119" s="37"/>
    </row>
    <row r="120" spans="1:19" x14ac:dyDescent="0.25">
      <c r="A120" s="23" t="s">
        <v>248</v>
      </c>
      <c r="B120" s="2"/>
      <c r="C120" s="33"/>
      <c r="D120" s="34"/>
      <c r="E120" s="34"/>
      <c r="F120" s="34"/>
      <c r="G120" s="34"/>
      <c r="H120" s="24">
        <v>1.4639230901435352</v>
      </c>
      <c r="I120" s="53">
        <v>4.558064516129031</v>
      </c>
      <c r="J120" s="28">
        <v>1.4639230901435352</v>
      </c>
      <c r="K120" s="31">
        <v>6.6726558915252088E-2</v>
      </c>
      <c r="L120">
        <v>1.6263539994464256</v>
      </c>
      <c r="M120" s="53">
        <v>5.8</v>
      </c>
      <c r="N120" s="28">
        <v>1.6263539994464256</v>
      </c>
      <c r="O120" s="31">
        <v>9.4328531967892676E-2</v>
      </c>
      <c r="S120" s="37"/>
    </row>
    <row r="121" spans="1:19" x14ac:dyDescent="0.25">
      <c r="A121" s="23" t="s">
        <v>251</v>
      </c>
      <c r="B121" s="2"/>
      <c r="C121" s="33"/>
      <c r="D121" s="34"/>
      <c r="E121" s="34"/>
      <c r="F121" s="34"/>
      <c r="G121" s="34"/>
      <c r="H121" s="24">
        <v>1.4845360708395088</v>
      </c>
      <c r="I121" s="53">
        <v>4.558064516129031</v>
      </c>
      <c r="J121" s="28">
        <v>1.4845360708395088</v>
      </c>
      <c r="K121" s="31">
        <v>6.7666111874071788E-2</v>
      </c>
      <c r="L121">
        <v>1.6146168607359095</v>
      </c>
      <c r="M121" s="53">
        <v>5.8</v>
      </c>
      <c r="N121" s="28">
        <v>1.6146168607359095</v>
      </c>
      <c r="O121" s="31">
        <v>9.3647777922682737E-2</v>
      </c>
      <c r="S121" s="37"/>
    </row>
    <row r="122" spans="1:19" x14ac:dyDescent="0.25">
      <c r="A122" s="23" t="s">
        <v>253</v>
      </c>
      <c r="B122" s="2"/>
      <c r="C122" s="33"/>
      <c r="D122" s="34"/>
      <c r="E122" s="34"/>
      <c r="F122" s="34"/>
      <c r="G122" s="34"/>
      <c r="H122" s="24">
        <v>1.4614755033267111</v>
      </c>
      <c r="I122" s="53">
        <v>4.558064516129031</v>
      </c>
      <c r="J122" s="28">
        <v>1.4614755033267111</v>
      </c>
      <c r="K122" s="31">
        <v>6.6614996329052975E-2</v>
      </c>
      <c r="L122">
        <v>1.5889945345067211</v>
      </c>
      <c r="M122" s="53">
        <v>5.8</v>
      </c>
      <c r="N122" s="28">
        <v>1.5889945345067211</v>
      </c>
      <c r="O122" s="31">
        <v>9.2161683001389813E-2</v>
      </c>
      <c r="S122" s="37"/>
    </row>
    <row r="123" spans="1:19" x14ac:dyDescent="0.25">
      <c r="A123" s="23" t="s">
        <v>254</v>
      </c>
      <c r="B123" s="2"/>
      <c r="C123" s="33"/>
      <c r="D123" s="34"/>
      <c r="E123" s="34"/>
      <c r="F123" s="34"/>
      <c r="G123" s="34"/>
      <c r="H123" s="24">
        <v>1.37788282793573</v>
      </c>
      <c r="I123" s="53">
        <v>4.558064516129031</v>
      </c>
      <c r="J123" s="28">
        <v>1.37788282793573</v>
      </c>
      <c r="K123" s="31">
        <v>6.2804788253973745E-2</v>
      </c>
      <c r="L123">
        <v>1.49795543278086</v>
      </c>
      <c r="M123" s="53">
        <v>5.8</v>
      </c>
      <c r="N123" s="28">
        <v>1.49795543278086</v>
      </c>
      <c r="O123" s="31">
        <v>8.6881415101289883E-2</v>
      </c>
      <c r="S123" s="37"/>
    </row>
    <row r="124" spans="1:19" x14ac:dyDescent="0.25">
      <c r="A124" s="23" t="s">
        <v>255</v>
      </c>
      <c r="B124" s="2"/>
      <c r="C124" s="33"/>
      <c r="D124" s="34"/>
      <c r="E124" s="34"/>
      <c r="F124" s="34"/>
      <c r="G124" s="34"/>
      <c r="H124" s="24">
        <v>1.3556664359861619</v>
      </c>
      <c r="I124" s="53">
        <v>4.558064516129031</v>
      </c>
      <c r="J124" s="28">
        <v>1.3556664359861619</v>
      </c>
      <c r="K124" s="31">
        <v>6.1792150775756331E-2</v>
      </c>
      <c r="L124">
        <v>1.4738334569045406</v>
      </c>
      <c r="M124" s="53">
        <v>5.8</v>
      </c>
      <c r="N124" s="28">
        <v>1.4738334569045406</v>
      </c>
      <c r="O124" s="31">
        <v>8.5482340500463355E-2</v>
      </c>
      <c r="S124" s="37"/>
    </row>
    <row r="125" spans="1:19" x14ac:dyDescent="0.25">
      <c r="A125" s="23" t="s">
        <v>256</v>
      </c>
      <c r="B125" s="2"/>
      <c r="C125" s="33"/>
      <c r="D125" s="34"/>
      <c r="E125" s="34"/>
      <c r="F125" s="34"/>
      <c r="G125" s="34"/>
      <c r="H125" s="24">
        <v>1.387563838086157</v>
      </c>
      <c r="I125" s="53">
        <v>4.5666666666666655</v>
      </c>
      <c r="J125" s="28">
        <v>1.387563838086157</v>
      </c>
      <c r="K125" s="31">
        <v>6.3365415272601144E-2</v>
      </c>
      <c r="L125">
        <v>1.4967534564350233</v>
      </c>
      <c r="M125" s="53">
        <v>5.8</v>
      </c>
      <c r="N125" s="28">
        <v>1.4967534564350233</v>
      </c>
      <c r="O125" s="31">
        <v>8.6811700473231349E-2</v>
      </c>
      <c r="S125" s="37"/>
    </row>
    <row r="126" spans="1:19" x14ac:dyDescent="0.25">
      <c r="A126" s="23" t="s">
        <v>261</v>
      </c>
      <c r="B126" s="2"/>
      <c r="C126" s="33"/>
      <c r="D126" s="34"/>
      <c r="E126" s="34"/>
      <c r="F126" s="34"/>
      <c r="G126" s="34"/>
      <c r="H126" s="24">
        <v>1.4235651685393305</v>
      </c>
      <c r="I126" s="53">
        <v>4.6039999999999992</v>
      </c>
      <c r="J126" s="28">
        <v>1.4235651685393305</v>
      </c>
      <c r="K126" s="31">
        <v>6.554094035955077E-2</v>
      </c>
      <c r="L126">
        <v>1.5066613261715422</v>
      </c>
      <c r="M126" s="53">
        <v>5.7999999999999989</v>
      </c>
      <c r="N126" s="28">
        <v>1.5066613261715422</v>
      </c>
      <c r="O126" s="31">
        <v>8.7386356917949437E-2</v>
      </c>
      <c r="S126" s="37"/>
    </row>
    <row r="127" spans="1:19" x14ac:dyDescent="0.25">
      <c r="A127" s="23" t="s">
        <v>264</v>
      </c>
      <c r="B127" s="2"/>
      <c r="C127" s="33"/>
      <c r="D127" s="34"/>
      <c r="E127" s="34"/>
      <c r="F127" s="34"/>
      <c r="G127" s="34"/>
      <c r="H127" s="24">
        <v>1.4593875862069108</v>
      </c>
      <c r="I127" s="53">
        <v>4.6039999999999992</v>
      </c>
      <c r="J127" s="28">
        <v>1.4593875862069108</v>
      </c>
      <c r="K127" s="31">
        <v>6.7190204468966161E-2</v>
      </c>
      <c r="L127">
        <v>1.5401221042916695</v>
      </c>
      <c r="M127" s="53">
        <v>5.7999999999999989</v>
      </c>
      <c r="N127" s="28">
        <v>1.5401221042916695</v>
      </c>
      <c r="O127" s="31">
        <v>8.9327082048916817E-2</v>
      </c>
      <c r="S127" s="37"/>
    </row>
    <row r="128" spans="1:19" x14ac:dyDescent="0.25">
      <c r="A128" s="23" t="s">
        <v>265</v>
      </c>
      <c r="B128" s="2"/>
      <c r="C128" s="33"/>
      <c r="D128" s="34"/>
      <c r="E128" s="34"/>
      <c r="F128" s="34"/>
      <c r="G128" s="34"/>
      <c r="H128" s="24">
        <v>1.4956471800154698</v>
      </c>
      <c r="I128" s="53">
        <v>4.6434782608695642</v>
      </c>
      <c r="J128" s="28">
        <v>1.4956471800154698</v>
      </c>
      <c r="K128" s="31">
        <v>6.9450051663327017E-2</v>
      </c>
      <c r="L128" s="60">
        <v>1.5668757124471371</v>
      </c>
      <c r="M128" s="53">
        <v>5.7999999999999989</v>
      </c>
      <c r="N128" s="28">
        <v>1.5668757124471371</v>
      </c>
      <c r="O128" s="31">
        <v>9.0878791321933938E-2</v>
      </c>
      <c r="S128" s="37"/>
    </row>
    <row r="129" spans="1:19" x14ac:dyDescent="0.25">
      <c r="A129" s="23" t="s">
        <v>267</v>
      </c>
      <c r="B129" s="2"/>
      <c r="C129" s="33"/>
      <c r="D129" s="34"/>
      <c r="E129" s="34"/>
      <c r="F129" s="34"/>
      <c r="G129" s="34"/>
      <c r="H129" s="24">
        <v>1.4881076856274638</v>
      </c>
      <c r="I129" s="53">
        <v>4.6434782608695642</v>
      </c>
      <c r="J129" s="28">
        <v>1.4881076856274638</v>
      </c>
      <c r="K129" s="31">
        <v>6.9099956880440475E-2</v>
      </c>
      <c r="L129" s="60">
        <v>1.5574674721189501</v>
      </c>
      <c r="M129" s="53">
        <v>5.7999999999999989</v>
      </c>
      <c r="N129" s="28">
        <v>1.5574674721189501</v>
      </c>
      <c r="O129" s="31">
        <v>9.0333113382899094E-2</v>
      </c>
      <c r="S129" s="37"/>
    </row>
    <row r="130" spans="1:19" x14ac:dyDescent="0.25">
      <c r="A130" s="23" t="s">
        <v>270</v>
      </c>
      <c r="B130" s="2"/>
      <c r="C130" s="33"/>
      <c r="D130" s="34"/>
      <c r="E130" s="34"/>
      <c r="F130" s="34"/>
      <c r="G130" s="34"/>
      <c r="H130" s="24">
        <v>1.4336986797825677</v>
      </c>
      <c r="I130" s="53">
        <v>4.6434782608695642</v>
      </c>
      <c r="J130" s="28">
        <v>1.4336986797825677</v>
      </c>
      <c r="K130" s="31">
        <v>6.657348652207748E-2</v>
      </c>
      <c r="L130" s="60">
        <v>1.5079003135374696</v>
      </c>
      <c r="M130" s="53">
        <v>5.7999999999999989</v>
      </c>
      <c r="N130" s="28">
        <v>1.5079003135374696</v>
      </c>
      <c r="O130" s="31">
        <v>8.7458218185173228E-2</v>
      </c>
      <c r="S130" s="37"/>
    </row>
    <row r="131" spans="1:19" x14ac:dyDescent="0.25">
      <c r="A131" s="23" t="s">
        <v>278</v>
      </c>
      <c r="B131" s="2"/>
      <c r="C131" s="33"/>
      <c r="D131" s="34"/>
      <c r="E131" s="34"/>
      <c r="F131" s="34"/>
      <c r="G131" s="34"/>
      <c r="H131" s="24">
        <v>1.3714874036879896</v>
      </c>
      <c r="I131" s="53">
        <v>4.7823529411764714</v>
      </c>
      <c r="J131" s="28">
        <v>1.3714874036879896</v>
      </c>
      <c r="K131" s="31">
        <v>6.558936818813739E-2</v>
      </c>
      <c r="L131" s="60">
        <v>1.4579652970571895</v>
      </c>
      <c r="M131" s="53">
        <v>5.7999999999999989</v>
      </c>
      <c r="N131" s="28">
        <v>1.4579652970571895</v>
      </c>
      <c r="O131" s="31">
        <v>8.4561987229316973E-2</v>
      </c>
      <c r="S131" s="37"/>
    </row>
    <row r="132" spans="1:19" x14ac:dyDescent="0.25">
      <c r="A132" s="23" t="s">
        <v>284</v>
      </c>
      <c r="B132" s="2"/>
      <c r="C132" s="33"/>
      <c r="D132" s="34"/>
      <c r="E132" s="34"/>
      <c r="F132" s="34"/>
      <c r="G132" s="34"/>
      <c r="H132" s="24">
        <v>1.3541975907791066</v>
      </c>
      <c r="I132" s="53">
        <v>4.7823529411764714</v>
      </c>
      <c r="J132" s="28">
        <v>1.3541975907791066</v>
      </c>
      <c r="K132" s="31">
        <v>6.4762508311965519E-2</v>
      </c>
      <c r="L132" s="60">
        <v>1.4507742563247208</v>
      </c>
      <c r="M132" s="53">
        <v>5.7999999999999989</v>
      </c>
      <c r="N132" s="28">
        <v>1.4507742563247208</v>
      </c>
      <c r="O132" s="31">
        <v>8.4144906866833791E-2</v>
      </c>
      <c r="S132" s="37"/>
    </row>
    <row r="133" spans="1:19" x14ac:dyDescent="0.25">
      <c r="A133" s="23" t="s">
        <v>285</v>
      </c>
      <c r="B133" s="2"/>
      <c r="C133" s="33"/>
      <c r="D133" s="34"/>
      <c r="E133" s="34"/>
      <c r="F133" s="34"/>
      <c r="G133" s="34"/>
      <c r="H133" s="24">
        <v>1.4135623444606529</v>
      </c>
      <c r="I133" s="53">
        <v>4.7823529411764714</v>
      </c>
      <c r="J133" s="28">
        <v>1.4135623444606529</v>
      </c>
      <c r="K133" s="31">
        <v>6.7601540355677114E-2</v>
      </c>
      <c r="L133" s="60">
        <v>1.489007611187553</v>
      </c>
      <c r="M133" s="53">
        <v>5.7999999999999989</v>
      </c>
      <c r="N133" s="28">
        <v>1.489007611187553</v>
      </c>
      <c r="O133" s="31">
        <v>8.6362441448878058E-2</v>
      </c>
      <c r="S133" s="37"/>
    </row>
    <row r="134" spans="1:19" x14ac:dyDescent="0.25">
      <c r="A134" s="23" t="s">
        <v>286</v>
      </c>
      <c r="B134" s="2"/>
      <c r="C134" s="33"/>
      <c r="D134" s="34"/>
      <c r="E134" s="34"/>
      <c r="F134" s="34"/>
      <c r="G134" s="34"/>
      <c r="H134" s="24">
        <v>1.4219131759993155</v>
      </c>
      <c r="I134" s="53">
        <v>4.7823529411764714</v>
      </c>
      <c r="J134" s="28">
        <v>1.4219131759993155</v>
      </c>
      <c r="K134" s="31">
        <v>6.800090659337904E-2</v>
      </c>
      <c r="L134" s="60">
        <v>1.4763539477355332</v>
      </c>
      <c r="M134" s="53">
        <v>5.7999999999999989</v>
      </c>
      <c r="N134" s="28">
        <v>1.4763539477355332</v>
      </c>
      <c r="O134" s="31">
        <v>8.5628528968660897E-2</v>
      </c>
      <c r="S134" s="37"/>
    </row>
    <row r="135" spans="1:19" x14ac:dyDescent="0.25">
      <c r="A135" s="23" t="s">
        <v>301</v>
      </c>
      <c r="B135" s="2"/>
      <c r="C135" s="33"/>
      <c r="D135" s="34"/>
      <c r="E135" s="34"/>
      <c r="F135" s="34"/>
      <c r="G135" s="34"/>
      <c r="H135" s="24">
        <v>1.3968262568377063</v>
      </c>
      <c r="I135" s="53">
        <v>4.7823529411764714</v>
      </c>
      <c r="J135" s="28">
        <v>1.3968262568377063</v>
      </c>
      <c r="K135" s="31">
        <v>6.6801161577003262E-2</v>
      </c>
      <c r="L135" s="24">
        <v>1.467674854018004</v>
      </c>
      <c r="M135" s="53">
        <v>5.7999999999999989</v>
      </c>
      <c r="N135" s="28">
        <v>1.467674854018004</v>
      </c>
      <c r="O135" s="31">
        <v>8.5125141533044207E-2</v>
      </c>
      <c r="S135" s="37"/>
    </row>
    <row r="136" spans="1:19" x14ac:dyDescent="0.25">
      <c r="A136" s="23" t="s">
        <v>305</v>
      </c>
      <c r="B136" s="2"/>
      <c r="C136" s="33"/>
      <c r="D136" s="34"/>
      <c r="E136" s="34"/>
      <c r="F136" s="34"/>
      <c r="G136" s="34"/>
      <c r="H136" s="24">
        <v>1.4071659999999999</v>
      </c>
      <c r="I136" s="53">
        <v>4.7823529411764714</v>
      </c>
      <c r="J136" s="28">
        <v>1.4071659999999999</v>
      </c>
      <c r="K136" s="31">
        <v>6.7295644588235295E-2</v>
      </c>
      <c r="L136" s="24">
        <v>1.476426</v>
      </c>
      <c r="M136" s="53">
        <v>5.7999999999999989</v>
      </c>
      <c r="N136" s="28">
        <v>1.476426</v>
      </c>
      <c r="O136" s="31">
        <v>8.5632707999999974E-2</v>
      </c>
      <c r="S136" s="37"/>
    </row>
    <row r="137" spans="1:19" x14ac:dyDescent="0.25">
      <c r="A137" s="23" t="s">
        <v>304</v>
      </c>
      <c r="B137" s="2"/>
      <c r="C137" s="33"/>
      <c r="D137" s="34"/>
      <c r="E137" s="34"/>
      <c r="F137" s="34"/>
      <c r="G137" s="34"/>
      <c r="H137" s="24">
        <v>1.4029844621856167</v>
      </c>
      <c r="I137" s="53">
        <v>4.6068965517241365</v>
      </c>
      <c r="J137" s="28">
        <v>1.4029844621856167</v>
      </c>
      <c r="K137" s="31">
        <v>6.4634042809654596E-2</v>
      </c>
      <c r="L137" s="24">
        <v>1.4643912206744896</v>
      </c>
      <c r="M137" s="53">
        <v>5.799999999999998</v>
      </c>
      <c r="N137" s="28">
        <v>1.4643912206744896</v>
      </c>
      <c r="O137" s="31">
        <v>8.4934690799120374E-2</v>
      </c>
      <c r="S137" s="37"/>
    </row>
    <row r="138" spans="1:19" x14ac:dyDescent="0.25">
      <c r="A138" s="23" t="s">
        <v>309</v>
      </c>
      <c r="B138" s="2"/>
      <c r="C138" s="33"/>
      <c r="D138" s="34"/>
      <c r="E138" s="34"/>
      <c r="F138" s="34"/>
      <c r="G138" s="34"/>
      <c r="H138" s="24">
        <v>1.4359654220919549</v>
      </c>
      <c r="I138" s="53">
        <v>4.629629629629628</v>
      </c>
      <c r="J138" s="28">
        <v>1.4359654220919549</v>
      </c>
      <c r="K138" s="31">
        <v>6.6479880652405288E-2</v>
      </c>
      <c r="L138" s="24">
        <v>1.4734535911602353</v>
      </c>
      <c r="M138" s="53">
        <v>5.799999999999998</v>
      </c>
      <c r="N138" s="28">
        <v>1.4734535911602353</v>
      </c>
      <c r="O138" s="31">
        <v>8.5460308287293618E-2</v>
      </c>
      <c r="S138" s="37"/>
    </row>
    <row r="139" spans="1:19" x14ac:dyDescent="0.25">
      <c r="A139" s="23" t="s">
        <v>314</v>
      </c>
      <c r="B139" s="2"/>
      <c r="C139" s="33"/>
      <c r="D139" s="34"/>
      <c r="E139" s="34"/>
      <c r="F139" s="34"/>
      <c r="G139" s="34"/>
      <c r="H139" s="24">
        <v>1.3770154737206113</v>
      </c>
      <c r="I139" s="53">
        <v>4.629629629629628</v>
      </c>
      <c r="J139" s="28">
        <v>1.3770154737206113</v>
      </c>
      <c r="K139" s="31">
        <v>6.3750716375954197E-2</v>
      </c>
      <c r="L139" s="24">
        <v>1.4310414397785001</v>
      </c>
      <c r="M139" s="53">
        <v>5.799999999999998</v>
      </c>
      <c r="N139" s="28">
        <v>1.4310414397785001</v>
      </c>
      <c r="O139" s="31">
        <v>8.3000403507152973E-2</v>
      </c>
      <c r="S139" s="37"/>
    </row>
    <row r="140" spans="1:19" x14ac:dyDescent="0.25">
      <c r="A140" s="23" t="s">
        <v>316</v>
      </c>
      <c r="B140" s="2"/>
      <c r="C140" s="33"/>
      <c r="D140" s="34"/>
      <c r="E140" s="34"/>
      <c r="F140" s="34"/>
      <c r="G140" s="34"/>
      <c r="H140" s="24">
        <v>1.3946780000000001</v>
      </c>
      <c r="I140" s="53">
        <v>4.6629629629629612</v>
      </c>
      <c r="J140" s="28">
        <v>1.3946780000000001</v>
      </c>
      <c r="K140" s="31">
        <v>6.5033318592592565E-2</v>
      </c>
      <c r="L140" s="24">
        <v>1.444591</v>
      </c>
      <c r="M140" s="53">
        <v>5.799999999999998</v>
      </c>
      <c r="N140" s="28">
        <v>1.444591</v>
      </c>
      <c r="O140" s="31">
        <v>8.3786277999999964E-2</v>
      </c>
      <c r="S140" s="37"/>
    </row>
    <row r="141" spans="1:19" x14ac:dyDescent="0.25">
      <c r="A141" s="23" t="s">
        <v>319</v>
      </c>
      <c r="B141" s="2"/>
      <c r="C141" s="33"/>
      <c r="D141" s="34"/>
      <c r="E141" s="34"/>
      <c r="F141" s="34"/>
      <c r="G141" s="34"/>
      <c r="H141" s="24">
        <v>1.4296996560619237</v>
      </c>
      <c r="I141" s="53">
        <v>4.6629629629629612</v>
      </c>
      <c r="J141" s="28">
        <v>1.4296996560619237</v>
      </c>
      <c r="K141" s="31">
        <v>6.666636544377634E-2</v>
      </c>
      <c r="L141" s="24">
        <v>1.47703574046922</v>
      </c>
      <c r="M141" s="53">
        <v>5.799999999999998</v>
      </c>
      <c r="N141" s="28">
        <v>1.47703574046922</v>
      </c>
      <c r="O141" s="31">
        <v>8.5668072947214735E-2</v>
      </c>
      <c r="S141" s="37"/>
    </row>
    <row r="142" spans="1:19" x14ac:dyDescent="0.25">
      <c r="A142" s="23" t="s">
        <v>320</v>
      </c>
      <c r="B142" s="2"/>
      <c r="C142" s="33"/>
      <c r="D142" s="34"/>
      <c r="E142" s="34"/>
      <c r="F142" s="34"/>
      <c r="G142" s="34"/>
      <c r="H142" s="24">
        <v>1.7899148882328364</v>
      </c>
      <c r="I142" s="53">
        <v>4.6807692307692292</v>
      </c>
      <c r="J142" s="28">
        <v>1.7899148882328364</v>
      </c>
      <c r="K142" s="31">
        <v>8.3781785345360044E-2</v>
      </c>
      <c r="L142" s="24">
        <v>1.5510726372637231</v>
      </c>
      <c r="M142" s="53">
        <v>5.799999999999998</v>
      </c>
      <c r="N142" s="28">
        <v>1.5510726372637231</v>
      </c>
      <c r="O142" s="31">
        <v>8.9962212961295904E-2</v>
      </c>
      <c r="S142" s="37"/>
    </row>
    <row r="143" spans="1:19" x14ac:dyDescent="0.25">
      <c r="A143" s="23" t="s">
        <v>328</v>
      </c>
      <c r="B143" s="2"/>
      <c r="C143" s="33"/>
      <c r="D143" s="34"/>
      <c r="E143" s="34"/>
      <c r="F143" s="34"/>
      <c r="G143" s="34"/>
      <c r="H143" s="24">
        <v>1.7345237499999973</v>
      </c>
      <c r="I143" s="53">
        <f>GETPIVOTDATA("Consumo Fabricante",consumo!$E$8)</f>
        <v>4.7559999923706036</v>
      </c>
      <c r="J143" s="28">
        <f>H143</f>
        <v>1.7345237499999973</v>
      </c>
      <c r="K143" s="31">
        <f>I143*J143/100</f>
        <v>8.2493949417666176E-2</v>
      </c>
      <c r="L143" s="24">
        <v>1.5247866286030072</v>
      </c>
      <c r="M143" s="53">
        <f>GETPIVOTDATA("Consumo Fabricante",consumo!$E$17)</f>
        <v>5.7882352941176451</v>
      </c>
      <c r="N143" s="28">
        <f>L143</f>
        <v>1.5247866286030072</v>
      </c>
      <c r="O143" s="31">
        <f>M143*N143/100</f>
        <v>8.8258237796785793E-2</v>
      </c>
      <c r="S143" s="37"/>
    </row>
    <row r="144" spans="1:19" ht="31.2" thickBot="1" x14ac:dyDescent="0.3">
      <c r="A144" s="12" t="s">
        <v>20</v>
      </c>
      <c r="B144" s="16"/>
      <c r="C144" s="16"/>
      <c r="D144" s="16"/>
      <c r="E144" s="16"/>
      <c r="F144" s="16"/>
      <c r="G144" s="16"/>
      <c r="H144" s="13" t="s">
        <v>27</v>
      </c>
      <c r="I144" s="16" t="s">
        <v>28</v>
      </c>
      <c r="J144" s="16" t="s">
        <v>29</v>
      </c>
      <c r="K144" s="17" t="s">
        <v>30</v>
      </c>
      <c r="L144" s="13" t="s">
        <v>242</v>
      </c>
      <c r="M144" s="16" t="s">
        <v>243</v>
      </c>
      <c r="N144" s="16" t="s">
        <v>244</v>
      </c>
      <c r="O144" s="17" t="s">
        <v>245</v>
      </c>
      <c r="S144" s="37"/>
    </row>
    <row r="145" spans="1:19" x14ac:dyDescent="0.25">
      <c r="A145" s="23" t="s">
        <v>333</v>
      </c>
      <c r="B145" s="2"/>
      <c r="C145" s="33"/>
      <c r="D145" s="34"/>
      <c r="E145" s="34"/>
      <c r="F145" s="34"/>
      <c r="G145" s="34"/>
      <c r="H145" s="24">
        <v>1.7345237499999973</v>
      </c>
      <c r="I145" s="53">
        <f>GETPIVOTDATA("Consumo Fabricante",consumo!$E$8)</f>
        <v>4.7559999923706036</v>
      </c>
      <c r="J145" s="28">
        <f>H145</f>
        <v>1.7345237499999973</v>
      </c>
      <c r="K145" s="31">
        <f>I145*J145/100</f>
        <v>8.2493949417666176E-2</v>
      </c>
      <c r="L145" s="24">
        <v>1.5247866286030072</v>
      </c>
      <c r="M145" s="53">
        <f>GETPIVOTDATA("Consumo Fabricante",consumo!$E$17)</f>
        <v>5.7882352941176451</v>
      </c>
      <c r="N145" s="28">
        <f>L145</f>
        <v>1.5247866286030072</v>
      </c>
      <c r="O145" s="31">
        <f>M145*N145/100</f>
        <v>8.8258237796785793E-2</v>
      </c>
      <c r="S145" s="37"/>
    </row>
    <row r="147" spans="1:19" x14ac:dyDescent="0.25">
      <c r="H147" s="41">
        <f>H145-J145</f>
        <v>0</v>
      </c>
      <c r="I147" t="s">
        <v>315</v>
      </c>
      <c r="L147" s="41">
        <f>L145-N145</f>
        <v>0</v>
      </c>
      <c r="M147" t="s">
        <v>315</v>
      </c>
    </row>
  </sheetData>
  <hyperlinks>
    <hyperlink ref="O85" r:id="rId1" display="https://www.boe.es/buscar/act.php?id=BOE-A-2022-4972" xr:uid="{B0AB6CAA-ED5A-4201-9F69-CF88AD90D826}"/>
  </hyperlinks>
  <pageMargins left="0.7" right="0.7" top="0.75" bottom="0.75" header="0.3" footer="0.3"/>
  <pageSetup orientation="portrait" r:id="rId2"/>
  <headerFooter>
    <oddFooter>&amp;R_x000D_&amp;1#&amp;"Arial"&amp;16&amp;K009FE4 INTERNAL</oddFooter>
  </headerFooter>
  <customProperties>
    <customPr name="_pios_id" r:id="rId3"/>
  </customPropertie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FB7C-D91C-460F-9F69-E21ECDBC26DC}">
  <dimension ref="A2:F23"/>
  <sheetViews>
    <sheetView showGridLines="0" workbookViewId="0">
      <selection activeCell="F9" sqref="F9"/>
    </sheetView>
  </sheetViews>
  <sheetFormatPr defaultRowHeight="13.2" x14ac:dyDescent="0.25"/>
  <cols>
    <col min="1" max="1" width="27" bestFit="1" customWidth="1"/>
    <col min="2" max="2" width="28.77734375" bestFit="1" customWidth="1"/>
    <col min="5" max="5" width="28.77734375" bestFit="1" customWidth="1"/>
    <col min="6" max="6" width="34.77734375" bestFit="1" customWidth="1"/>
  </cols>
  <sheetData>
    <row r="2" spans="1:6" x14ac:dyDescent="0.25">
      <c r="B2" t="s">
        <v>277</v>
      </c>
    </row>
    <row r="3" spans="1:6" x14ac:dyDescent="0.25">
      <c r="B3">
        <v>44</v>
      </c>
      <c r="E3" s="62" t="s">
        <v>283</v>
      </c>
    </row>
    <row r="5" spans="1:6" x14ac:dyDescent="0.25">
      <c r="E5" s="47" t="s">
        <v>116</v>
      </c>
      <c r="F5" t="s">
        <v>252</v>
      </c>
    </row>
    <row r="6" spans="1:6" x14ac:dyDescent="0.25">
      <c r="A6" s="47" t="s">
        <v>116</v>
      </c>
      <c r="B6" t="s">
        <v>280</v>
      </c>
      <c r="E6" s="47" t="s">
        <v>131</v>
      </c>
      <c r="F6" t="s">
        <v>281</v>
      </c>
    </row>
    <row r="8" spans="1:6" x14ac:dyDescent="0.25">
      <c r="A8" s="47" t="s">
        <v>117</v>
      </c>
      <c r="B8" t="s">
        <v>118</v>
      </c>
      <c r="E8" t="s">
        <v>118</v>
      </c>
    </row>
    <row r="9" spans="1:6" x14ac:dyDescent="0.25">
      <c r="A9" s="48" t="s">
        <v>119</v>
      </c>
      <c r="B9" s="50">
        <v>4.876923062251163</v>
      </c>
      <c r="E9" s="59">
        <v>4.7559999923706036</v>
      </c>
    </row>
    <row r="10" spans="1:6" x14ac:dyDescent="0.25">
      <c r="A10" s="49" t="s">
        <v>120</v>
      </c>
      <c r="B10" s="50">
        <v>4.833333333333333</v>
      </c>
    </row>
    <row r="11" spans="1:6" x14ac:dyDescent="0.25">
      <c r="A11" s="49" t="s">
        <v>207</v>
      </c>
      <c r="B11" s="50">
        <v>4.8</v>
      </c>
    </row>
    <row r="12" spans="1:6" x14ac:dyDescent="0.25">
      <c r="A12" s="49" t="s">
        <v>121</v>
      </c>
      <c r="B12" s="50">
        <v>5.6999998092651367</v>
      </c>
      <c r="E12" s="62" t="s">
        <v>282</v>
      </c>
    </row>
    <row r="13" spans="1:6" x14ac:dyDescent="0.25">
      <c r="A13" s="48" t="s">
        <v>122</v>
      </c>
      <c r="B13" s="50">
        <v>0</v>
      </c>
    </row>
    <row r="14" spans="1:6" x14ac:dyDescent="0.25">
      <c r="A14" s="49" t="s">
        <v>272</v>
      </c>
      <c r="B14" s="50">
        <v>0</v>
      </c>
      <c r="E14" s="47" t="s">
        <v>116</v>
      </c>
      <c r="F14" t="s">
        <v>252</v>
      </c>
    </row>
    <row r="15" spans="1:6" x14ac:dyDescent="0.25">
      <c r="A15" s="49" t="s">
        <v>324</v>
      </c>
      <c r="B15" s="50">
        <v>0</v>
      </c>
      <c r="E15" s="47" t="s">
        <v>131</v>
      </c>
      <c r="F15" t="s">
        <v>306</v>
      </c>
    </row>
    <row r="16" spans="1:6" x14ac:dyDescent="0.25">
      <c r="A16" s="48" t="s">
        <v>279</v>
      </c>
      <c r="B16" s="50"/>
    </row>
    <row r="17" spans="1:5" x14ac:dyDescent="0.25">
      <c r="A17" s="49" t="s">
        <v>279</v>
      </c>
      <c r="B17" s="50"/>
      <c r="E17" t="s">
        <v>118</v>
      </c>
    </row>
    <row r="18" spans="1:5" x14ac:dyDescent="0.25">
      <c r="A18" s="48" t="s">
        <v>306</v>
      </c>
      <c r="B18" s="50">
        <v>5.788235294117646</v>
      </c>
      <c r="E18" s="59">
        <v>5.7882352941176451</v>
      </c>
    </row>
    <row r="19" spans="1:5" x14ac:dyDescent="0.25">
      <c r="A19" s="49" t="s">
        <v>207</v>
      </c>
      <c r="B19" s="50">
        <v>5.788235294117646</v>
      </c>
    </row>
    <row r="20" spans="1:5" x14ac:dyDescent="0.25">
      <c r="A20" s="48" t="s">
        <v>307</v>
      </c>
      <c r="B20" s="50">
        <v>4.6250000000000009</v>
      </c>
    </row>
    <row r="21" spans="1:5" x14ac:dyDescent="0.25">
      <c r="A21" s="49" t="s">
        <v>121</v>
      </c>
      <c r="B21" s="50">
        <v>4.6090909090909102</v>
      </c>
    </row>
    <row r="22" spans="1:5" x14ac:dyDescent="0.25">
      <c r="A22" s="49" t="s">
        <v>219</v>
      </c>
      <c r="B22" s="50">
        <v>4.8</v>
      </c>
    </row>
    <row r="23" spans="1:5" x14ac:dyDescent="0.25">
      <c r="A23" s="48" t="s">
        <v>123</v>
      </c>
      <c r="B23" s="50">
        <v>4.938636359301479</v>
      </c>
    </row>
  </sheetData>
  <pageMargins left="0.7" right="0.7" top="0.75" bottom="0.75" header="0.3" footer="0.3"/>
  <pageSetup orientation="portrait" r:id="rId5"/>
  <customProperties>
    <customPr name="_pios_id" r:id="rId6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1CFD-3235-42C4-84A3-FA18ABE5A4B8}">
  <dimension ref="B8:Q67"/>
  <sheetViews>
    <sheetView showGridLines="0" topLeftCell="B10" zoomScale="70" zoomScaleNormal="70" workbookViewId="0">
      <selection activeCell="I30" sqref="I30"/>
    </sheetView>
  </sheetViews>
  <sheetFormatPr defaultColWidth="17.21875" defaultRowHeight="13.2" x14ac:dyDescent="0.25"/>
  <cols>
    <col min="1" max="1" width="3.77734375" style="6" customWidth="1"/>
    <col min="2" max="2" width="9.77734375" style="8" bestFit="1" customWidth="1"/>
    <col min="3" max="3" width="23.21875" style="8" bestFit="1" customWidth="1"/>
    <col min="4" max="4" width="12.21875" style="8" bestFit="1" customWidth="1"/>
    <col min="5" max="5" width="11.77734375" style="8" bestFit="1" customWidth="1"/>
    <col min="6" max="6" width="53.5546875" style="8" bestFit="1" customWidth="1"/>
    <col min="7" max="7" width="33.21875" style="8" bestFit="1" customWidth="1"/>
    <col min="8" max="8" width="13" style="9" bestFit="1" customWidth="1"/>
    <col min="9" max="9" width="29.21875" style="9" bestFit="1" customWidth="1"/>
    <col min="10" max="10" width="24.21875" style="9" bestFit="1" customWidth="1"/>
    <col min="11" max="11" width="26.21875" style="9" bestFit="1" customWidth="1"/>
    <col min="12" max="12" width="23.5546875" style="9" bestFit="1" customWidth="1"/>
    <col min="13" max="13" width="20.21875" style="9" bestFit="1" customWidth="1"/>
    <col min="14" max="14" width="17.21875" style="8" bestFit="1" customWidth="1"/>
    <col min="15" max="15" width="28.21875" style="9" bestFit="1" customWidth="1"/>
    <col min="16" max="16" width="25.21875" style="9" bestFit="1" customWidth="1"/>
    <col min="17" max="17" width="18.21875" style="10" bestFit="1" customWidth="1"/>
    <col min="18" max="253" width="17.21875" style="6"/>
    <col min="254" max="254" width="3.77734375" style="6" customWidth="1"/>
    <col min="255" max="255" width="9.77734375" style="6" bestFit="1" customWidth="1"/>
    <col min="256" max="256" width="23.21875" style="6" bestFit="1" customWidth="1"/>
    <col min="257" max="257" width="12.21875" style="6" bestFit="1" customWidth="1"/>
    <col min="258" max="258" width="11.77734375" style="6" bestFit="1" customWidth="1"/>
    <col min="259" max="259" width="53.5546875" style="6" bestFit="1" customWidth="1"/>
    <col min="260" max="260" width="33.21875" style="6" bestFit="1" customWidth="1"/>
    <col min="261" max="261" width="13" style="6" bestFit="1" customWidth="1"/>
    <col min="262" max="262" width="29.21875" style="6" bestFit="1" customWidth="1"/>
    <col min="263" max="263" width="24.21875" style="6" bestFit="1" customWidth="1"/>
    <col min="264" max="264" width="26.21875" style="6" bestFit="1" customWidth="1"/>
    <col min="265" max="265" width="23.5546875" style="6" bestFit="1" customWidth="1"/>
    <col min="266" max="266" width="20.21875" style="6" bestFit="1" customWidth="1"/>
    <col min="267" max="267" width="17.21875" style="6" bestFit="1" customWidth="1"/>
    <col min="268" max="268" width="28.21875" style="6" bestFit="1" customWidth="1"/>
    <col min="269" max="269" width="25.21875" style="6" bestFit="1" customWidth="1"/>
    <col min="270" max="270" width="18.21875" style="6" bestFit="1" customWidth="1"/>
    <col min="271" max="271" width="33.77734375" style="6" bestFit="1" customWidth="1"/>
    <col min="272" max="272" width="33.21875" style="6" bestFit="1" customWidth="1"/>
    <col min="273" max="273" width="33" style="6" bestFit="1" customWidth="1"/>
    <col min="274" max="509" width="17.21875" style="6"/>
    <col min="510" max="510" width="3.77734375" style="6" customWidth="1"/>
    <col min="511" max="511" width="9.77734375" style="6" bestFit="1" customWidth="1"/>
    <col min="512" max="512" width="23.21875" style="6" bestFit="1" customWidth="1"/>
    <col min="513" max="513" width="12.21875" style="6" bestFit="1" customWidth="1"/>
    <col min="514" max="514" width="11.77734375" style="6" bestFit="1" customWidth="1"/>
    <col min="515" max="515" width="53.5546875" style="6" bestFit="1" customWidth="1"/>
    <col min="516" max="516" width="33.21875" style="6" bestFit="1" customWidth="1"/>
    <col min="517" max="517" width="13" style="6" bestFit="1" customWidth="1"/>
    <col min="518" max="518" width="29.21875" style="6" bestFit="1" customWidth="1"/>
    <col min="519" max="519" width="24.21875" style="6" bestFit="1" customWidth="1"/>
    <col min="520" max="520" width="26.21875" style="6" bestFit="1" customWidth="1"/>
    <col min="521" max="521" width="23.5546875" style="6" bestFit="1" customWidth="1"/>
    <col min="522" max="522" width="20.21875" style="6" bestFit="1" customWidth="1"/>
    <col min="523" max="523" width="17.21875" style="6" bestFit="1" customWidth="1"/>
    <col min="524" max="524" width="28.21875" style="6" bestFit="1" customWidth="1"/>
    <col min="525" max="525" width="25.21875" style="6" bestFit="1" customWidth="1"/>
    <col min="526" max="526" width="18.21875" style="6" bestFit="1" customWidth="1"/>
    <col min="527" max="527" width="33.77734375" style="6" bestFit="1" customWidth="1"/>
    <col min="528" max="528" width="33.21875" style="6" bestFit="1" customWidth="1"/>
    <col min="529" max="529" width="33" style="6" bestFit="1" customWidth="1"/>
    <col min="530" max="765" width="17.21875" style="6"/>
    <col min="766" max="766" width="3.77734375" style="6" customWidth="1"/>
    <col min="767" max="767" width="9.77734375" style="6" bestFit="1" customWidth="1"/>
    <col min="768" max="768" width="23.21875" style="6" bestFit="1" customWidth="1"/>
    <col min="769" max="769" width="12.21875" style="6" bestFit="1" customWidth="1"/>
    <col min="770" max="770" width="11.77734375" style="6" bestFit="1" customWidth="1"/>
    <col min="771" max="771" width="53.5546875" style="6" bestFit="1" customWidth="1"/>
    <col min="772" max="772" width="33.21875" style="6" bestFit="1" customWidth="1"/>
    <col min="773" max="773" width="13" style="6" bestFit="1" customWidth="1"/>
    <col min="774" max="774" width="29.21875" style="6" bestFit="1" customWidth="1"/>
    <col min="775" max="775" width="24.21875" style="6" bestFit="1" customWidth="1"/>
    <col min="776" max="776" width="26.21875" style="6" bestFit="1" customWidth="1"/>
    <col min="777" max="777" width="23.5546875" style="6" bestFit="1" customWidth="1"/>
    <col min="778" max="778" width="20.21875" style="6" bestFit="1" customWidth="1"/>
    <col min="779" max="779" width="17.21875" style="6" bestFit="1" customWidth="1"/>
    <col min="780" max="780" width="28.21875" style="6" bestFit="1" customWidth="1"/>
    <col min="781" max="781" width="25.21875" style="6" bestFit="1" customWidth="1"/>
    <col min="782" max="782" width="18.21875" style="6" bestFit="1" customWidth="1"/>
    <col min="783" max="783" width="33.77734375" style="6" bestFit="1" customWidth="1"/>
    <col min="784" max="784" width="33.21875" style="6" bestFit="1" customWidth="1"/>
    <col min="785" max="785" width="33" style="6" bestFit="1" customWidth="1"/>
    <col min="786" max="1021" width="17.21875" style="6"/>
    <col min="1022" max="1022" width="3.77734375" style="6" customWidth="1"/>
    <col min="1023" max="1023" width="9.77734375" style="6" bestFit="1" customWidth="1"/>
    <col min="1024" max="1024" width="23.21875" style="6" bestFit="1" customWidth="1"/>
    <col min="1025" max="1025" width="12.21875" style="6" bestFit="1" customWidth="1"/>
    <col min="1026" max="1026" width="11.77734375" style="6" bestFit="1" customWidth="1"/>
    <col min="1027" max="1027" width="53.5546875" style="6" bestFit="1" customWidth="1"/>
    <col min="1028" max="1028" width="33.21875" style="6" bestFit="1" customWidth="1"/>
    <col min="1029" max="1029" width="13" style="6" bestFit="1" customWidth="1"/>
    <col min="1030" max="1030" width="29.21875" style="6" bestFit="1" customWidth="1"/>
    <col min="1031" max="1031" width="24.21875" style="6" bestFit="1" customWidth="1"/>
    <col min="1032" max="1032" width="26.21875" style="6" bestFit="1" customWidth="1"/>
    <col min="1033" max="1033" width="23.5546875" style="6" bestFit="1" customWidth="1"/>
    <col min="1034" max="1034" width="20.21875" style="6" bestFit="1" customWidth="1"/>
    <col min="1035" max="1035" width="17.21875" style="6" bestFit="1" customWidth="1"/>
    <col min="1036" max="1036" width="28.21875" style="6" bestFit="1" customWidth="1"/>
    <col min="1037" max="1037" width="25.21875" style="6" bestFit="1" customWidth="1"/>
    <col min="1038" max="1038" width="18.21875" style="6" bestFit="1" customWidth="1"/>
    <col min="1039" max="1039" width="33.77734375" style="6" bestFit="1" customWidth="1"/>
    <col min="1040" max="1040" width="33.21875" style="6" bestFit="1" customWidth="1"/>
    <col min="1041" max="1041" width="33" style="6" bestFit="1" customWidth="1"/>
    <col min="1042" max="1277" width="17.21875" style="6"/>
    <col min="1278" max="1278" width="3.77734375" style="6" customWidth="1"/>
    <col min="1279" max="1279" width="9.77734375" style="6" bestFit="1" customWidth="1"/>
    <col min="1280" max="1280" width="23.21875" style="6" bestFit="1" customWidth="1"/>
    <col min="1281" max="1281" width="12.21875" style="6" bestFit="1" customWidth="1"/>
    <col min="1282" max="1282" width="11.77734375" style="6" bestFit="1" customWidth="1"/>
    <col min="1283" max="1283" width="53.5546875" style="6" bestFit="1" customWidth="1"/>
    <col min="1284" max="1284" width="33.21875" style="6" bestFit="1" customWidth="1"/>
    <col min="1285" max="1285" width="13" style="6" bestFit="1" customWidth="1"/>
    <col min="1286" max="1286" width="29.21875" style="6" bestFit="1" customWidth="1"/>
    <col min="1287" max="1287" width="24.21875" style="6" bestFit="1" customWidth="1"/>
    <col min="1288" max="1288" width="26.21875" style="6" bestFit="1" customWidth="1"/>
    <col min="1289" max="1289" width="23.5546875" style="6" bestFit="1" customWidth="1"/>
    <col min="1290" max="1290" width="20.21875" style="6" bestFit="1" customWidth="1"/>
    <col min="1291" max="1291" width="17.21875" style="6" bestFit="1" customWidth="1"/>
    <col min="1292" max="1292" width="28.21875" style="6" bestFit="1" customWidth="1"/>
    <col min="1293" max="1293" width="25.21875" style="6" bestFit="1" customWidth="1"/>
    <col min="1294" max="1294" width="18.21875" style="6" bestFit="1" customWidth="1"/>
    <col min="1295" max="1295" width="33.77734375" style="6" bestFit="1" customWidth="1"/>
    <col min="1296" max="1296" width="33.21875" style="6" bestFit="1" customWidth="1"/>
    <col min="1297" max="1297" width="33" style="6" bestFit="1" customWidth="1"/>
    <col min="1298" max="1533" width="17.21875" style="6"/>
    <col min="1534" max="1534" width="3.77734375" style="6" customWidth="1"/>
    <col min="1535" max="1535" width="9.77734375" style="6" bestFit="1" customWidth="1"/>
    <col min="1536" max="1536" width="23.21875" style="6" bestFit="1" customWidth="1"/>
    <col min="1537" max="1537" width="12.21875" style="6" bestFit="1" customWidth="1"/>
    <col min="1538" max="1538" width="11.77734375" style="6" bestFit="1" customWidth="1"/>
    <col min="1539" max="1539" width="53.5546875" style="6" bestFit="1" customWidth="1"/>
    <col min="1540" max="1540" width="33.21875" style="6" bestFit="1" customWidth="1"/>
    <col min="1541" max="1541" width="13" style="6" bestFit="1" customWidth="1"/>
    <col min="1542" max="1542" width="29.21875" style="6" bestFit="1" customWidth="1"/>
    <col min="1543" max="1543" width="24.21875" style="6" bestFit="1" customWidth="1"/>
    <col min="1544" max="1544" width="26.21875" style="6" bestFit="1" customWidth="1"/>
    <col min="1545" max="1545" width="23.5546875" style="6" bestFit="1" customWidth="1"/>
    <col min="1546" max="1546" width="20.21875" style="6" bestFit="1" customWidth="1"/>
    <col min="1547" max="1547" width="17.21875" style="6" bestFit="1" customWidth="1"/>
    <col min="1548" max="1548" width="28.21875" style="6" bestFit="1" customWidth="1"/>
    <col min="1549" max="1549" width="25.21875" style="6" bestFit="1" customWidth="1"/>
    <col min="1550" max="1550" width="18.21875" style="6" bestFit="1" customWidth="1"/>
    <col min="1551" max="1551" width="33.77734375" style="6" bestFit="1" customWidth="1"/>
    <col min="1552" max="1552" width="33.21875" style="6" bestFit="1" customWidth="1"/>
    <col min="1553" max="1553" width="33" style="6" bestFit="1" customWidth="1"/>
    <col min="1554" max="1789" width="17.21875" style="6"/>
    <col min="1790" max="1790" width="3.77734375" style="6" customWidth="1"/>
    <col min="1791" max="1791" width="9.77734375" style="6" bestFit="1" customWidth="1"/>
    <col min="1792" max="1792" width="23.21875" style="6" bestFit="1" customWidth="1"/>
    <col min="1793" max="1793" width="12.21875" style="6" bestFit="1" customWidth="1"/>
    <col min="1794" max="1794" width="11.77734375" style="6" bestFit="1" customWidth="1"/>
    <col min="1795" max="1795" width="53.5546875" style="6" bestFit="1" customWidth="1"/>
    <col min="1796" max="1796" width="33.21875" style="6" bestFit="1" customWidth="1"/>
    <col min="1797" max="1797" width="13" style="6" bestFit="1" customWidth="1"/>
    <col min="1798" max="1798" width="29.21875" style="6" bestFit="1" customWidth="1"/>
    <col min="1799" max="1799" width="24.21875" style="6" bestFit="1" customWidth="1"/>
    <col min="1800" max="1800" width="26.21875" style="6" bestFit="1" customWidth="1"/>
    <col min="1801" max="1801" width="23.5546875" style="6" bestFit="1" customWidth="1"/>
    <col min="1802" max="1802" width="20.21875" style="6" bestFit="1" customWidth="1"/>
    <col min="1803" max="1803" width="17.21875" style="6" bestFit="1" customWidth="1"/>
    <col min="1804" max="1804" width="28.21875" style="6" bestFit="1" customWidth="1"/>
    <col min="1805" max="1805" width="25.21875" style="6" bestFit="1" customWidth="1"/>
    <col min="1806" max="1806" width="18.21875" style="6" bestFit="1" customWidth="1"/>
    <col min="1807" max="1807" width="33.77734375" style="6" bestFit="1" customWidth="1"/>
    <col min="1808" max="1808" width="33.21875" style="6" bestFit="1" customWidth="1"/>
    <col min="1809" max="1809" width="33" style="6" bestFit="1" customWidth="1"/>
    <col min="1810" max="2045" width="17.21875" style="6"/>
    <col min="2046" max="2046" width="3.77734375" style="6" customWidth="1"/>
    <col min="2047" max="2047" width="9.77734375" style="6" bestFit="1" customWidth="1"/>
    <col min="2048" max="2048" width="23.21875" style="6" bestFit="1" customWidth="1"/>
    <col min="2049" max="2049" width="12.21875" style="6" bestFit="1" customWidth="1"/>
    <col min="2050" max="2050" width="11.77734375" style="6" bestFit="1" customWidth="1"/>
    <col min="2051" max="2051" width="53.5546875" style="6" bestFit="1" customWidth="1"/>
    <col min="2052" max="2052" width="33.21875" style="6" bestFit="1" customWidth="1"/>
    <col min="2053" max="2053" width="13" style="6" bestFit="1" customWidth="1"/>
    <col min="2054" max="2054" width="29.21875" style="6" bestFit="1" customWidth="1"/>
    <col min="2055" max="2055" width="24.21875" style="6" bestFit="1" customWidth="1"/>
    <col min="2056" max="2056" width="26.21875" style="6" bestFit="1" customWidth="1"/>
    <col min="2057" max="2057" width="23.5546875" style="6" bestFit="1" customWidth="1"/>
    <col min="2058" max="2058" width="20.21875" style="6" bestFit="1" customWidth="1"/>
    <col min="2059" max="2059" width="17.21875" style="6" bestFit="1" customWidth="1"/>
    <col min="2060" max="2060" width="28.21875" style="6" bestFit="1" customWidth="1"/>
    <col min="2061" max="2061" width="25.21875" style="6" bestFit="1" customWidth="1"/>
    <col min="2062" max="2062" width="18.21875" style="6" bestFit="1" customWidth="1"/>
    <col min="2063" max="2063" width="33.77734375" style="6" bestFit="1" customWidth="1"/>
    <col min="2064" max="2064" width="33.21875" style="6" bestFit="1" customWidth="1"/>
    <col min="2065" max="2065" width="33" style="6" bestFit="1" customWidth="1"/>
    <col min="2066" max="2301" width="17.21875" style="6"/>
    <col min="2302" max="2302" width="3.77734375" style="6" customWidth="1"/>
    <col min="2303" max="2303" width="9.77734375" style="6" bestFit="1" customWidth="1"/>
    <col min="2304" max="2304" width="23.21875" style="6" bestFit="1" customWidth="1"/>
    <col min="2305" max="2305" width="12.21875" style="6" bestFit="1" customWidth="1"/>
    <col min="2306" max="2306" width="11.77734375" style="6" bestFit="1" customWidth="1"/>
    <col min="2307" max="2307" width="53.5546875" style="6" bestFit="1" customWidth="1"/>
    <col min="2308" max="2308" width="33.21875" style="6" bestFit="1" customWidth="1"/>
    <col min="2309" max="2309" width="13" style="6" bestFit="1" customWidth="1"/>
    <col min="2310" max="2310" width="29.21875" style="6" bestFit="1" customWidth="1"/>
    <col min="2311" max="2311" width="24.21875" style="6" bestFit="1" customWidth="1"/>
    <col min="2312" max="2312" width="26.21875" style="6" bestFit="1" customWidth="1"/>
    <col min="2313" max="2313" width="23.5546875" style="6" bestFit="1" customWidth="1"/>
    <col min="2314" max="2314" width="20.21875" style="6" bestFit="1" customWidth="1"/>
    <col min="2315" max="2315" width="17.21875" style="6" bestFit="1" customWidth="1"/>
    <col min="2316" max="2316" width="28.21875" style="6" bestFit="1" customWidth="1"/>
    <col min="2317" max="2317" width="25.21875" style="6" bestFit="1" customWidth="1"/>
    <col min="2318" max="2318" width="18.21875" style="6" bestFit="1" customWidth="1"/>
    <col min="2319" max="2319" width="33.77734375" style="6" bestFit="1" customWidth="1"/>
    <col min="2320" max="2320" width="33.21875" style="6" bestFit="1" customWidth="1"/>
    <col min="2321" max="2321" width="33" style="6" bestFit="1" customWidth="1"/>
    <col min="2322" max="2557" width="17.21875" style="6"/>
    <col min="2558" max="2558" width="3.77734375" style="6" customWidth="1"/>
    <col min="2559" max="2559" width="9.77734375" style="6" bestFit="1" customWidth="1"/>
    <col min="2560" max="2560" width="23.21875" style="6" bestFit="1" customWidth="1"/>
    <col min="2561" max="2561" width="12.21875" style="6" bestFit="1" customWidth="1"/>
    <col min="2562" max="2562" width="11.77734375" style="6" bestFit="1" customWidth="1"/>
    <col min="2563" max="2563" width="53.5546875" style="6" bestFit="1" customWidth="1"/>
    <col min="2564" max="2564" width="33.21875" style="6" bestFit="1" customWidth="1"/>
    <col min="2565" max="2565" width="13" style="6" bestFit="1" customWidth="1"/>
    <col min="2566" max="2566" width="29.21875" style="6" bestFit="1" customWidth="1"/>
    <col min="2567" max="2567" width="24.21875" style="6" bestFit="1" customWidth="1"/>
    <col min="2568" max="2568" width="26.21875" style="6" bestFit="1" customWidth="1"/>
    <col min="2569" max="2569" width="23.5546875" style="6" bestFit="1" customWidth="1"/>
    <col min="2570" max="2570" width="20.21875" style="6" bestFit="1" customWidth="1"/>
    <col min="2571" max="2571" width="17.21875" style="6" bestFit="1" customWidth="1"/>
    <col min="2572" max="2572" width="28.21875" style="6" bestFit="1" customWidth="1"/>
    <col min="2573" max="2573" width="25.21875" style="6" bestFit="1" customWidth="1"/>
    <col min="2574" max="2574" width="18.21875" style="6" bestFit="1" customWidth="1"/>
    <col min="2575" max="2575" width="33.77734375" style="6" bestFit="1" customWidth="1"/>
    <col min="2576" max="2576" width="33.21875" style="6" bestFit="1" customWidth="1"/>
    <col min="2577" max="2577" width="33" style="6" bestFit="1" customWidth="1"/>
    <col min="2578" max="2813" width="17.21875" style="6"/>
    <col min="2814" max="2814" width="3.77734375" style="6" customWidth="1"/>
    <col min="2815" max="2815" width="9.77734375" style="6" bestFit="1" customWidth="1"/>
    <col min="2816" max="2816" width="23.21875" style="6" bestFit="1" customWidth="1"/>
    <col min="2817" max="2817" width="12.21875" style="6" bestFit="1" customWidth="1"/>
    <col min="2818" max="2818" width="11.77734375" style="6" bestFit="1" customWidth="1"/>
    <col min="2819" max="2819" width="53.5546875" style="6" bestFit="1" customWidth="1"/>
    <col min="2820" max="2820" width="33.21875" style="6" bestFit="1" customWidth="1"/>
    <col min="2821" max="2821" width="13" style="6" bestFit="1" customWidth="1"/>
    <col min="2822" max="2822" width="29.21875" style="6" bestFit="1" customWidth="1"/>
    <col min="2823" max="2823" width="24.21875" style="6" bestFit="1" customWidth="1"/>
    <col min="2824" max="2824" width="26.21875" style="6" bestFit="1" customWidth="1"/>
    <col min="2825" max="2825" width="23.5546875" style="6" bestFit="1" customWidth="1"/>
    <col min="2826" max="2826" width="20.21875" style="6" bestFit="1" customWidth="1"/>
    <col min="2827" max="2827" width="17.21875" style="6" bestFit="1" customWidth="1"/>
    <col min="2828" max="2828" width="28.21875" style="6" bestFit="1" customWidth="1"/>
    <col min="2829" max="2829" width="25.21875" style="6" bestFit="1" customWidth="1"/>
    <col min="2830" max="2830" width="18.21875" style="6" bestFit="1" customWidth="1"/>
    <col min="2831" max="2831" width="33.77734375" style="6" bestFit="1" customWidth="1"/>
    <col min="2832" max="2832" width="33.21875" style="6" bestFit="1" customWidth="1"/>
    <col min="2833" max="2833" width="33" style="6" bestFit="1" customWidth="1"/>
    <col min="2834" max="3069" width="17.21875" style="6"/>
    <col min="3070" max="3070" width="3.77734375" style="6" customWidth="1"/>
    <col min="3071" max="3071" width="9.77734375" style="6" bestFit="1" customWidth="1"/>
    <col min="3072" max="3072" width="23.21875" style="6" bestFit="1" customWidth="1"/>
    <col min="3073" max="3073" width="12.21875" style="6" bestFit="1" customWidth="1"/>
    <col min="3074" max="3074" width="11.77734375" style="6" bestFit="1" customWidth="1"/>
    <col min="3075" max="3075" width="53.5546875" style="6" bestFit="1" customWidth="1"/>
    <col min="3076" max="3076" width="33.21875" style="6" bestFit="1" customWidth="1"/>
    <col min="3077" max="3077" width="13" style="6" bestFit="1" customWidth="1"/>
    <col min="3078" max="3078" width="29.21875" style="6" bestFit="1" customWidth="1"/>
    <col min="3079" max="3079" width="24.21875" style="6" bestFit="1" customWidth="1"/>
    <col min="3080" max="3080" width="26.21875" style="6" bestFit="1" customWidth="1"/>
    <col min="3081" max="3081" width="23.5546875" style="6" bestFit="1" customWidth="1"/>
    <col min="3082" max="3082" width="20.21875" style="6" bestFit="1" customWidth="1"/>
    <col min="3083" max="3083" width="17.21875" style="6" bestFit="1" customWidth="1"/>
    <col min="3084" max="3084" width="28.21875" style="6" bestFit="1" customWidth="1"/>
    <col min="3085" max="3085" width="25.21875" style="6" bestFit="1" customWidth="1"/>
    <col min="3086" max="3086" width="18.21875" style="6" bestFit="1" customWidth="1"/>
    <col min="3087" max="3087" width="33.77734375" style="6" bestFit="1" customWidth="1"/>
    <col min="3088" max="3088" width="33.21875" style="6" bestFit="1" customWidth="1"/>
    <col min="3089" max="3089" width="33" style="6" bestFit="1" customWidth="1"/>
    <col min="3090" max="3325" width="17.21875" style="6"/>
    <col min="3326" max="3326" width="3.77734375" style="6" customWidth="1"/>
    <col min="3327" max="3327" width="9.77734375" style="6" bestFit="1" customWidth="1"/>
    <col min="3328" max="3328" width="23.21875" style="6" bestFit="1" customWidth="1"/>
    <col min="3329" max="3329" width="12.21875" style="6" bestFit="1" customWidth="1"/>
    <col min="3330" max="3330" width="11.77734375" style="6" bestFit="1" customWidth="1"/>
    <col min="3331" max="3331" width="53.5546875" style="6" bestFit="1" customWidth="1"/>
    <col min="3332" max="3332" width="33.21875" style="6" bestFit="1" customWidth="1"/>
    <col min="3333" max="3333" width="13" style="6" bestFit="1" customWidth="1"/>
    <col min="3334" max="3334" width="29.21875" style="6" bestFit="1" customWidth="1"/>
    <col min="3335" max="3335" width="24.21875" style="6" bestFit="1" customWidth="1"/>
    <col min="3336" max="3336" width="26.21875" style="6" bestFit="1" customWidth="1"/>
    <col min="3337" max="3337" width="23.5546875" style="6" bestFit="1" customWidth="1"/>
    <col min="3338" max="3338" width="20.21875" style="6" bestFit="1" customWidth="1"/>
    <col min="3339" max="3339" width="17.21875" style="6" bestFit="1" customWidth="1"/>
    <col min="3340" max="3340" width="28.21875" style="6" bestFit="1" customWidth="1"/>
    <col min="3341" max="3341" width="25.21875" style="6" bestFit="1" customWidth="1"/>
    <col min="3342" max="3342" width="18.21875" style="6" bestFit="1" customWidth="1"/>
    <col min="3343" max="3343" width="33.77734375" style="6" bestFit="1" customWidth="1"/>
    <col min="3344" max="3344" width="33.21875" style="6" bestFit="1" customWidth="1"/>
    <col min="3345" max="3345" width="33" style="6" bestFit="1" customWidth="1"/>
    <col min="3346" max="3581" width="17.21875" style="6"/>
    <col min="3582" max="3582" width="3.77734375" style="6" customWidth="1"/>
    <col min="3583" max="3583" width="9.77734375" style="6" bestFit="1" customWidth="1"/>
    <col min="3584" max="3584" width="23.21875" style="6" bestFit="1" customWidth="1"/>
    <col min="3585" max="3585" width="12.21875" style="6" bestFit="1" customWidth="1"/>
    <col min="3586" max="3586" width="11.77734375" style="6" bestFit="1" customWidth="1"/>
    <col min="3587" max="3587" width="53.5546875" style="6" bestFit="1" customWidth="1"/>
    <col min="3588" max="3588" width="33.21875" style="6" bestFit="1" customWidth="1"/>
    <col min="3589" max="3589" width="13" style="6" bestFit="1" customWidth="1"/>
    <col min="3590" max="3590" width="29.21875" style="6" bestFit="1" customWidth="1"/>
    <col min="3591" max="3591" width="24.21875" style="6" bestFit="1" customWidth="1"/>
    <col min="3592" max="3592" width="26.21875" style="6" bestFit="1" customWidth="1"/>
    <col min="3593" max="3593" width="23.5546875" style="6" bestFit="1" customWidth="1"/>
    <col min="3594" max="3594" width="20.21875" style="6" bestFit="1" customWidth="1"/>
    <col min="3595" max="3595" width="17.21875" style="6" bestFit="1" customWidth="1"/>
    <col min="3596" max="3596" width="28.21875" style="6" bestFit="1" customWidth="1"/>
    <col min="3597" max="3597" width="25.21875" style="6" bestFit="1" customWidth="1"/>
    <col min="3598" max="3598" width="18.21875" style="6" bestFit="1" customWidth="1"/>
    <col min="3599" max="3599" width="33.77734375" style="6" bestFit="1" customWidth="1"/>
    <col min="3600" max="3600" width="33.21875" style="6" bestFit="1" customWidth="1"/>
    <col min="3601" max="3601" width="33" style="6" bestFit="1" customWidth="1"/>
    <col min="3602" max="3837" width="17.21875" style="6"/>
    <col min="3838" max="3838" width="3.77734375" style="6" customWidth="1"/>
    <col min="3839" max="3839" width="9.77734375" style="6" bestFit="1" customWidth="1"/>
    <col min="3840" max="3840" width="23.21875" style="6" bestFit="1" customWidth="1"/>
    <col min="3841" max="3841" width="12.21875" style="6" bestFit="1" customWidth="1"/>
    <col min="3842" max="3842" width="11.77734375" style="6" bestFit="1" customWidth="1"/>
    <col min="3843" max="3843" width="53.5546875" style="6" bestFit="1" customWidth="1"/>
    <col min="3844" max="3844" width="33.21875" style="6" bestFit="1" customWidth="1"/>
    <col min="3845" max="3845" width="13" style="6" bestFit="1" customWidth="1"/>
    <col min="3846" max="3846" width="29.21875" style="6" bestFit="1" customWidth="1"/>
    <col min="3847" max="3847" width="24.21875" style="6" bestFit="1" customWidth="1"/>
    <col min="3848" max="3848" width="26.21875" style="6" bestFit="1" customWidth="1"/>
    <col min="3849" max="3849" width="23.5546875" style="6" bestFit="1" customWidth="1"/>
    <col min="3850" max="3850" width="20.21875" style="6" bestFit="1" customWidth="1"/>
    <col min="3851" max="3851" width="17.21875" style="6" bestFit="1" customWidth="1"/>
    <col min="3852" max="3852" width="28.21875" style="6" bestFit="1" customWidth="1"/>
    <col min="3853" max="3853" width="25.21875" style="6" bestFit="1" customWidth="1"/>
    <col min="3854" max="3854" width="18.21875" style="6" bestFit="1" customWidth="1"/>
    <col min="3855" max="3855" width="33.77734375" style="6" bestFit="1" customWidth="1"/>
    <col min="3856" max="3856" width="33.21875" style="6" bestFit="1" customWidth="1"/>
    <col min="3857" max="3857" width="33" style="6" bestFit="1" customWidth="1"/>
    <col min="3858" max="4093" width="17.21875" style="6"/>
    <col min="4094" max="4094" width="3.77734375" style="6" customWidth="1"/>
    <col min="4095" max="4095" width="9.77734375" style="6" bestFit="1" customWidth="1"/>
    <col min="4096" max="4096" width="23.21875" style="6" bestFit="1" customWidth="1"/>
    <col min="4097" max="4097" width="12.21875" style="6" bestFit="1" customWidth="1"/>
    <col min="4098" max="4098" width="11.77734375" style="6" bestFit="1" customWidth="1"/>
    <col min="4099" max="4099" width="53.5546875" style="6" bestFit="1" customWidth="1"/>
    <col min="4100" max="4100" width="33.21875" style="6" bestFit="1" customWidth="1"/>
    <col min="4101" max="4101" width="13" style="6" bestFit="1" customWidth="1"/>
    <col min="4102" max="4102" width="29.21875" style="6" bestFit="1" customWidth="1"/>
    <col min="4103" max="4103" width="24.21875" style="6" bestFit="1" customWidth="1"/>
    <col min="4104" max="4104" width="26.21875" style="6" bestFit="1" customWidth="1"/>
    <col min="4105" max="4105" width="23.5546875" style="6" bestFit="1" customWidth="1"/>
    <col min="4106" max="4106" width="20.21875" style="6" bestFit="1" customWidth="1"/>
    <col min="4107" max="4107" width="17.21875" style="6" bestFit="1" customWidth="1"/>
    <col min="4108" max="4108" width="28.21875" style="6" bestFit="1" customWidth="1"/>
    <col min="4109" max="4109" width="25.21875" style="6" bestFit="1" customWidth="1"/>
    <col min="4110" max="4110" width="18.21875" style="6" bestFit="1" customWidth="1"/>
    <col min="4111" max="4111" width="33.77734375" style="6" bestFit="1" customWidth="1"/>
    <col min="4112" max="4112" width="33.21875" style="6" bestFit="1" customWidth="1"/>
    <col min="4113" max="4113" width="33" style="6" bestFit="1" customWidth="1"/>
    <col min="4114" max="4349" width="17.21875" style="6"/>
    <col min="4350" max="4350" width="3.77734375" style="6" customWidth="1"/>
    <col min="4351" max="4351" width="9.77734375" style="6" bestFit="1" customWidth="1"/>
    <col min="4352" max="4352" width="23.21875" style="6" bestFit="1" customWidth="1"/>
    <col min="4353" max="4353" width="12.21875" style="6" bestFit="1" customWidth="1"/>
    <col min="4354" max="4354" width="11.77734375" style="6" bestFit="1" customWidth="1"/>
    <col min="4355" max="4355" width="53.5546875" style="6" bestFit="1" customWidth="1"/>
    <col min="4356" max="4356" width="33.21875" style="6" bestFit="1" customWidth="1"/>
    <col min="4357" max="4357" width="13" style="6" bestFit="1" customWidth="1"/>
    <col min="4358" max="4358" width="29.21875" style="6" bestFit="1" customWidth="1"/>
    <col min="4359" max="4359" width="24.21875" style="6" bestFit="1" customWidth="1"/>
    <col min="4360" max="4360" width="26.21875" style="6" bestFit="1" customWidth="1"/>
    <col min="4361" max="4361" width="23.5546875" style="6" bestFit="1" customWidth="1"/>
    <col min="4362" max="4362" width="20.21875" style="6" bestFit="1" customWidth="1"/>
    <col min="4363" max="4363" width="17.21875" style="6" bestFit="1" customWidth="1"/>
    <col min="4364" max="4364" width="28.21875" style="6" bestFit="1" customWidth="1"/>
    <col min="4365" max="4365" width="25.21875" style="6" bestFit="1" customWidth="1"/>
    <col min="4366" max="4366" width="18.21875" style="6" bestFit="1" customWidth="1"/>
    <col min="4367" max="4367" width="33.77734375" style="6" bestFit="1" customWidth="1"/>
    <col min="4368" max="4368" width="33.21875" style="6" bestFit="1" customWidth="1"/>
    <col min="4369" max="4369" width="33" style="6" bestFit="1" customWidth="1"/>
    <col min="4370" max="4605" width="17.21875" style="6"/>
    <col min="4606" max="4606" width="3.77734375" style="6" customWidth="1"/>
    <col min="4607" max="4607" width="9.77734375" style="6" bestFit="1" customWidth="1"/>
    <col min="4608" max="4608" width="23.21875" style="6" bestFit="1" customWidth="1"/>
    <col min="4609" max="4609" width="12.21875" style="6" bestFit="1" customWidth="1"/>
    <col min="4610" max="4610" width="11.77734375" style="6" bestFit="1" customWidth="1"/>
    <col min="4611" max="4611" width="53.5546875" style="6" bestFit="1" customWidth="1"/>
    <col min="4612" max="4612" width="33.21875" style="6" bestFit="1" customWidth="1"/>
    <col min="4613" max="4613" width="13" style="6" bestFit="1" customWidth="1"/>
    <col min="4614" max="4614" width="29.21875" style="6" bestFit="1" customWidth="1"/>
    <col min="4615" max="4615" width="24.21875" style="6" bestFit="1" customWidth="1"/>
    <col min="4616" max="4616" width="26.21875" style="6" bestFit="1" customWidth="1"/>
    <col min="4617" max="4617" width="23.5546875" style="6" bestFit="1" customWidth="1"/>
    <col min="4618" max="4618" width="20.21875" style="6" bestFit="1" customWidth="1"/>
    <col min="4619" max="4619" width="17.21875" style="6" bestFit="1" customWidth="1"/>
    <col min="4620" max="4620" width="28.21875" style="6" bestFit="1" customWidth="1"/>
    <col min="4621" max="4621" width="25.21875" style="6" bestFit="1" customWidth="1"/>
    <col min="4622" max="4622" width="18.21875" style="6" bestFit="1" customWidth="1"/>
    <col min="4623" max="4623" width="33.77734375" style="6" bestFit="1" customWidth="1"/>
    <col min="4624" max="4624" width="33.21875" style="6" bestFit="1" customWidth="1"/>
    <col min="4625" max="4625" width="33" style="6" bestFit="1" customWidth="1"/>
    <col min="4626" max="4861" width="17.21875" style="6"/>
    <col min="4862" max="4862" width="3.77734375" style="6" customWidth="1"/>
    <col min="4863" max="4863" width="9.77734375" style="6" bestFit="1" customWidth="1"/>
    <col min="4864" max="4864" width="23.21875" style="6" bestFit="1" customWidth="1"/>
    <col min="4865" max="4865" width="12.21875" style="6" bestFit="1" customWidth="1"/>
    <col min="4866" max="4866" width="11.77734375" style="6" bestFit="1" customWidth="1"/>
    <col min="4867" max="4867" width="53.5546875" style="6" bestFit="1" customWidth="1"/>
    <col min="4868" max="4868" width="33.21875" style="6" bestFit="1" customWidth="1"/>
    <col min="4869" max="4869" width="13" style="6" bestFit="1" customWidth="1"/>
    <col min="4870" max="4870" width="29.21875" style="6" bestFit="1" customWidth="1"/>
    <col min="4871" max="4871" width="24.21875" style="6" bestFit="1" customWidth="1"/>
    <col min="4872" max="4872" width="26.21875" style="6" bestFit="1" customWidth="1"/>
    <col min="4873" max="4873" width="23.5546875" style="6" bestFit="1" customWidth="1"/>
    <col min="4874" max="4874" width="20.21875" style="6" bestFit="1" customWidth="1"/>
    <col min="4875" max="4875" width="17.21875" style="6" bestFit="1" customWidth="1"/>
    <col min="4876" max="4876" width="28.21875" style="6" bestFit="1" customWidth="1"/>
    <col min="4877" max="4877" width="25.21875" style="6" bestFit="1" customWidth="1"/>
    <col min="4878" max="4878" width="18.21875" style="6" bestFit="1" customWidth="1"/>
    <col min="4879" max="4879" width="33.77734375" style="6" bestFit="1" customWidth="1"/>
    <col min="4880" max="4880" width="33.21875" style="6" bestFit="1" customWidth="1"/>
    <col min="4881" max="4881" width="33" style="6" bestFit="1" customWidth="1"/>
    <col min="4882" max="5117" width="17.21875" style="6"/>
    <col min="5118" max="5118" width="3.77734375" style="6" customWidth="1"/>
    <col min="5119" max="5119" width="9.77734375" style="6" bestFit="1" customWidth="1"/>
    <col min="5120" max="5120" width="23.21875" style="6" bestFit="1" customWidth="1"/>
    <col min="5121" max="5121" width="12.21875" style="6" bestFit="1" customWidth="1"/>
    <col min="5122" max="5122" width="11.77734375" style="6" bestFit="1" customWidth="1"/>
    <col min="5123" max="5123" width="53.5546875" style="6" bestFit="1" customWidth="1"/>
    <col min="5124" max="5124" width="33.21875" style="6" bestFit="1" customWidth="1"/>
    <col min="5125" max="5125" width="13" style="6" bestFit="1" customWidth="1"/>
    <col min="5126" max="5126" width="29.21875" style="6" bestFit="1" customWidth="1"/>
    <col min="5127" max="5127" width="24.21875" style="6" bestFit="1" customWidth="1"/>
    <col min="5128" max="5128" width="26.21875" style="6" bestFit="1" customWidth="1"/>
    <col min="5129" max="5129" width="23.5546875" style="6" bestFit="1" customWidth="1"/>
    <col min="5130" max="5130" width="20.21875" style="6" bestFit="1" customWidth="1"/>
    <col min="5131" max="5131" width="17.21875" style="6" bestFit="1" customWidth="1"/>
    <col min="5132" max="5132" width="28.21875" style="6" bestFit="1" customWidth="1"/>
    <col min="5133" max="5133" width="25.21875" style="6" bestFit="1" customWidth="1"/>
    <col min="5134" max="5134" width="18.21875" style="6" bestFit="1" customWidth="1"/>
    <col min="5135" max="5135" width="33.77734375" style="6" bestFit="1" customWidth="1"/>
    <col min="5136" max="5136" width="33.21875" style="6" bestFit="1" customWidth="1"/>
    <col min="5137" max="5137" width="33" style="6" bestFit="1" customWidth="1"/>
    <col min="5138" max="5373" width="17.21875" style="6"/>
    <col min="5374" max="5374" width="3.77734375" style="6" customWidth="1"/>
    <col min="5375" max="5375" width="9.77734375" style="6" bestFit="1" customWidth="1"/>
    <col min="5376" max="5376" width="23.21875" style="6" bestFit="1" customWidth="1"/>
    <col min="5377" max="5377" width="12.21875" style="6" bestFit="1" customWidth="1"/>
    <col min="5378" max="5378" width="11.77734375" style="6" bestFit="1" customWidth="1"/>
    <col min="5379" max="5379" width="53.5546875" style="6" bestFit="1" customWidth="1"/>
    <col min="5380" max="5380" width="33.21875" style="6" bestFit="1" customWidth="1"/>
    <col min="5381" max="5381" width="13" style="6" bestFit="1" customWidth="1"/>
    <col min="5382" max="5382" width="29.21875" style="6" bestFit="1" customWidth="1"/>
    <col min="5383" max="5383" width="24.21875" style="6" bestFit="1" customWidth="1"/>
    <col min="5384" max="5384" width="26.21875" style="6" bestFit="1" customWidth="1"/>
    <col min="5385" max="5385" width="23.5546875" style="6" bestFit="1" customWidth="1"/>
    <col min="5386" max="5386" width="20.21875" style="6" bestFit="1" customWidth="1"/>
    <col min="5387" max="5387" width="17.21875" style="6" bestFit="1" customWidth="1"/>
    <col min="5388" max="5388" width="28.21875" style="6" bestFit="1" customWidth="1"/>
    <col min="5389" max="5389" width="25.21875" style="6" bestFit="1" customWidth="1"/>
    <col min="5390" max="5390" width="18.21875" style="6" bestFit="1" customWidth="1"/>
    <col min="5391" max="5391" width="33.77734375" style="6" bestFit="1" customWidth="1"/>
    <col min="5392" max="5392" width="33.21875" style="6" bestFit="1" customWidth="1"/>
    <col min="5393" max="5393" width="33" style="6" bestFit="1" customWidth="1"/>
    <col min="5394" max="5629" width="17.21875" style="6"/>
    <col min="5630" max="5630" width="3.77734375" style="6" customWidth="1"/>
    <col min="5631" max="5631" width="9.77734375" style="6" bestFit="1" customWidth="1"/>
    <col min="5632" max="5632" width="23.21875" style="6" bestFit="1" customWidth="1"/>
    <col min="5633" max="5633" width="12.21875" style="6" bestFit="1" customWidth="1"/>
    <col min="5634" max="5634" width="11.77734375" style="6" bestFit="1" customWidth="1"/>
    <col min="5635" max="5635" width="53.5546875" style="6" bestFit="1" customWidth="1"/>
    <col min="5636" max="5636" width="33.21875" style="6" bestFit="1" customWidth="1"/>
    <col min="5637" max="5637" width="13" style="6" bestFit="1" customWidth="1"/>
    <col min="5638" max="5638" width="29.21875" style="6" bestFit="1" customWidth="1"/>
    <col min="5639" max="5639" width="24.21875" style="6" bestFit="1" customWidth="1"/>
    <col min="5640" max="5640" width="26.21875" style="6" bestFit="1" customWidth="1"/>
    <col min="5641" max="5641" width="23.5546875" style="6" bestFit="1" customWidth="1"/>
    <col min="5642" max="5642" width="20.21875" style="6" bestFit="1" customWidth="1"/>
    <col min="5643" max="5643" width="17.21875" style="6" bestFit="1" customWidth="1"/>
    <col min="5644" max="5644" width="28.21875" style="6" bestFit="1" customWidth="1"/>
    <col min="5645" max="5645" width="25.21875" style="6" bestFit="1" customWidth="1"/>
    <col min="5646" max="5646" width="18.21875" style="6" bestFit="1" customWidth="1"/>
    <col min="5647" max="5647" width="33.77734375" style="6" bestFit="1" customWidth="1"/>
    <col min="5648" max="5648" width="33.21875" style="6" bestFit="1" customWidth="1"/>
    <col min="5649" max="5649" width="33" style="6" bestFit="1" customWidth="1"/>
    <col min="5650" max="5885" width="17.21875" style="6"/>
    <col min="5886" max="5886" width="3.77734375" style="6" customWidth="1"/>
    <col min="5887" max="5887" width="9.77734375" style="6" bestFit="1" customWidth="1"/>
    <col min="5888" max="5888" width="23.21875" style="6" bestFit="1" customWidth="1"/>
    <col min="5889" max="5889" width="12.21875" style="6" bestFit="1" customWidth="1"/>
    <col min="5890" max="5890" width="11.77734375" style="6" bestFit="1" customWidth="1"/>
    <col min="5891" max="5891" width="53.5546875" style="6" bestFit="1" customWidth="1"/>
    <col min="5892" max="5892" width="33.21875" style="6" bestFit="1" customWidth="1"/>
    <col min="5893" max="5893" width="13" style="6" bestFit="1" customWidth="1"/>
    <col min="5894" max="5894" width="29.21875" style="6" bestFit="1" customWidth="1"/>
    <col min="5895" max="5895" width="24.21875" style="6" bestFit="1" customWidth="1"/>
    <col min="5896" max="5896" width="26.21875" style="6" bestFit="1" customWidth="1"/>
    <col min="5897" max="5897" width="23.5546875" style="6" bestFit="1" customWidth="1"/>
    <col min="5898" max="5898" width="20.21875" style="6" bestFit="1" customWidth="1"/>
    <col min="5899" max="5899" width="17.21875" style="6" bestFit="1" customWidth="1"/>
    <col min="5900" max="5900" width="28.21875" style="6" bestFit="1" customWidth="1"/>
    <col min="5901" max="5901" width="25.21875" style="6" bestFit="1" customWidth="1"/>
    <col min="5902" max="5902" width="18.21875" style="6" bestFit="1" customWidth="1"/>
    <col min="5903" max="5903" width="33.77734375" style="6" bestFit="1" customWidth="1"/>
    <col min="5904" max="5904" width="33.21875" style="6" bestFit="1" customWidth="1"/>
    <col min="5905" max="5905" width="33" style="6" bestFit="1" customWidth="1"/>
    <col min="5906" max="6141" width="17.21875" style="6"/>
    <col min="6142" max="6142" width="3.77734375" style="6" customWidth="1"/>
    <col min="6143" max="6143" width="9.77734375" style="6" bestFit="1" customWidth="1"/>
    <col min="6144" max="6144" width="23.21875" style="6" bestFit="1" customWidth="1"/>
    <col min="6145" max="6145" width="12.21875" style="6" bestFit="1" customWidth="1"/>
    <col min="6146" max="6146" width="11.77734375" style="6" bestFit="1" customWidth="1"/>
    <col min="6147" max="6147" width="53.5546875" style="6" bestFit="1" customWidth="1"/>
    <col min="6148" max="6148" width="33.21875" style="6" bestFit="1" customWidth="1"/>
    <col min="6149" max="6149" width="13" style="6" bestFit="1" customWidth="1"/>
    <col min="6150" max="6150" width="29.21875" style="6" bestFit="1" customWidth="1"/>
    <col min="6151" max="6151" width="24.21875" style="6" bestFit="1" customWidth="1"/>
    <col min="6152" max="6152" width="26.21875" style="6" bestFit="1" customWidth="1"/>
    <col min="6153" max="6153" width="23.5546875" style="6" bestFit="1" customWidth="1"/>
    <col min="6154" max="6154" width="20.21875" style="6" bestFit="1" customWidth="1"/>
    <col min="6155" max="6155" width="17.21875" style="6" bestFit="1" customWidth="1"/>
    <col min="6156" max="6156" width="28.21875" style="6" bestFit="1" customWidth="1"/>
    <col min="6157" max="6157" width="25.21875" style="6" bestFit="1" customWidth="1"/>
    <col min="6158" max="6158" width="18.21875" style="6" bestFit="1" customWidth="1"/>
    <col min="6159" max="6159" width="33.77734375" style="6" bestFit="1" customWidth="1"/>
    <col min="6160" max="6160" width="33.21875" style="6" bestFit="1" customWidth="1"/>
    <col min="6161" max="6161" width="33" style="6" bestFit="1" customWidth="1"/>
    <col min="6162" max="6397" width="17.21875" style="6"/>
    <col min="6398" max="6398" width="3.77734375" style="6" customWidth="1"/>
    <col min="6399" max="6399" width="9.77734375" style="6" bestFit="1" customWidth="1"/>
    <col min="6400" max="6400" width="23.21875" style="6" bestFit="1" customWidth="1"/>
    <col min="6401" max="6401" width="12.21875" style="6" bestFit="1" customWidth="1"/>
    <col min="6402" max="6402" width="11.77734375" style="6" bestFit="1" customWidth="1"/>
    <col min="6403" max="6403" width="53.5546875" style="6" bestFit="1" customWidth="1"/>
    <col min="6404" max="6404" width="33.21875" style="6" bestFit="1" customWidth="1"/>
    <col min="6405" max="6405" width="13" style="6" bestFit="1" customWidth="1"/>
    <col min="6406" max="6406" width="29.21875" style="6" bestFit="1" customWidth="1"/>
    <col min="6407" max="6407" width="24.21875" style="6" bestFit="1" customWidth="1"/>
    <col min="6408" max="6408" width="26.21875" style="6" bestFit="1" customWidth="1"/>
    <col min="6409" max="6409" width="23.5546875" style="6" bestFit="1" customWidth="1"/>
    <col min="6410" max="6410" width="20.21875" style="6" bestFit="1" customWidth="1"/>
    <col min="6411" max="6411" width="17.21875" style="6" bestFit="1" customWidth="1"/>
    <col min="6412" max="6412" width="28.21875" style="6" bestFit="1" customWidth="1"/>
    <col min="6413" max="6413" width="25.21875" style="6" bestFit="1" customWidth="1"/>
    <col min="6414" max="6414" width="18.21875" style="6" bestFit="1" customWidth="1"/>
    <col min="6415" max="6415" width="33.77734375" style="6" bestFit="1" customWidth="1"/>
    <col min="6416" max="6416" width="33.21875" style="6" bestFit="1" customWidth="1"/>
    <col min="6417" max="6417" width="33" style="6" bestFit="1" customWidth="1"/>
    <col min="6418" max="6653" width="17.21875" style="6"/>
    <col min="6654" max="6654" width="3.77734375" style="6" customWidth="1"/>
    <col min="6655" max="6655" width="9.77734375" style="6" bestFit="1" customWidth="1"/>
    <col min="6656" max="6656" width="23.21875" style="6" bestFit="1" customWidth="1"/>
    <col min="6657" max="6657" width="12.21875" style="6" bestFit="1" customWidth="1"/>
    <col min="6658" max="6658" width="11.77734375" style="6" bestFit="1" customWidth="1"/>
    <col min="6659" max="6659" width="53.5546875" style="6" bestFit="1" customWidth="1"/>
    <col min="6660" max="6660" width="33.21875" style="6" bestFit="1" customWidth="1"/>
    <col min="6661" max="6661" width="13" style="6" bestFit="1" customWidth="1"/>
    <col min="6662" max="6662" width="29.21875" style="6" bestFit="1" customWidth="1"/>
    <col min="6663" max="6663" width="24.21875" style="6" bestFit="1" customWidth="1"/>
    <col min="6664" max="6664" width="26.21875" style="6" bestFit="1" customWidth="1"/>
    <col min="6665" max="6665" width="23.5546875" style="6" bestFit="1" customWidth="1"/>
    <col min="6666" max="6666" width="20.21875" style="6" bestFit="1" customWidth="1"/>
    <col min="6667" max="6667" width="17.21875" style="6" bestFit="1" customWidth="1"/>
    <col min="6668" max="6668" width="28.21875" style="6" bestFit="1" customWidth="1"/>
    <col min="6669" max="6669" width="25.21875" style="6" bestFit="1" customWidth="1"/>
    <col min="6670" max="6670" width="18.21875" style="6" bestFit="1" customWidth="1"/>
    <col min="6671" max="6671" width="33.77734375" style="6" bestFit="1" customWidth="1"/>
    <col min="6672" max="6672" width="33.21875" style="6" bestFit="1" customWidth="1"/>
    <col min="6673" max="6673" width="33" style="6" bestFit="1" customWidth="1"/>
    <col min="6674" max="6909" width="17.21875" style="6"/>
    <col min="6910" max="6910" width="3.77734375" style="6" customWidth="1"/>
    <col min="6911" max="6911" width="9.77734375" style="6" bestFit="1" customWidth="1"/>
    <col min="6912" max="6912" width="23.21875" style="6" bestFit="1" customWidth="1"/>
    <col min="6913" max="6913" width="12.21875" style="6" bestFit="1" customWidth="1"/>
    <col min="6914" max="6914" width="11.77734375" style="6" bestFit="1" customWidth="1"/>
    <col min="6915" max="6915" width="53.5546875" style="6" bestFit="1" customWidth="1"/>
    <col min="6916" max="6916" width="33.21875" style="6" bestFit="1" customWidth="1"/>
    <col min="6917" max="6917" width="13" style="6" bestFit="1" customWidth="1"/>
    <col min="6918" max="6918" width="29.21875" style="6" bestFit="1" customWidth="1"/>
    <col min="6919" max="6919" width="24.21875" style="6" bestFit="1" customWidth="1"/>
    <col min="6920" max="6920" width="26.21875" style="6" bestFit="1" customWidth="1"/>
    <col min="6921" max="6921" width="23.5546875" style="6" bestFit="1" customWidth="1"/>
    <col min="6922" max="6922" width="20.21875" style="6" bestFit="1" customWidth="1"/>
    <col min="6923" max="6923" width="17.21875" style="6" bestFit="1" customWidth="1"/>
    <col min="6924" max="6924" width="28.21875" style="6" bestFit="1" customWidth="1"/>
    <col min="6925" max="6925" width="25.21875" style="6" bestFit="1" customWidth="1"/>
    <col min="6926" max="6926" width="18.21875" style="6" bestFit="1" customWidth="1"/>
    <col min="6927" max="6927" width="33.77734375" style="6" bestFit="1" customWidth="1"/>
    <col min="6928" max="6928" width="33.21875" style="6" bestFit="1" customWidth="1"/>
    <col min="6929" max="6929" width="33" style="6" bestFit="1" customWidth="1"/>
    <col min="6930" max="7165" width="17.21875" style="6"/>
    <col min="7166" max="7166" width="3.77734375" style="6" customWidth="1"/>
    <col min="7167" max="7167" width="9.77734375" style="6" bestFit="1" customWidth="1"/>
    <col min="7168" max="7168" width="23.21875" style="6" bestFit="1" customWidth="1"/>
    <col min="7169" max="7169" width="12.21875" style="6" bestFit="1" customWidth="1"/>
    <col min="7170" max="7170" width="11.77734375" style="6" bestFit="1" customWidth="1"/>
    <col min="7171" max="7171" width="53.5546875" style="6" bestFit="1" customWidth="1"/>
    <col min="7172" max="7172" width="33.21875" style="6" bestFit="1" customWidth="1"/>
    <col min="7173" max="7173" width="13" style="6" bestFit="1" customWidth="1"/>
    <col min="7174" max="7174" width="29.21875" style="6" bestFit="1" customWidth="1"/>
    <col min="7175" max="7175" width="24.21875" style="6" bestFit="1" customWidth="1"/>
    <col min="7176" max="7176" width="26.21875" style="6" bestFit="1" customWidth="1"/>
    <col min="7177" max="7177" width="23.5546875" style="6" bestFit="1" customWidth="1"/>
    <col min="7178" max="7178" width="20.21875" style="6" bestFit="1" customWidth="1"/>
    <col min="7179" max="7179" width="17.21875" style="6" bestFit="1" customWidth="1"/>
    <col min="7180" max="7180" width="28.21875" style="6" bestFit="1" customWidth="1"/>
    <col min="7181" max="7181" width="25.21875" style="6" bestFit="1" customWidth="1"/>
    <col min="7182" max="7182" width="18.21875" style="6" bestFit="1" customWidth="1"/>
    <col min="7183" max="7183" width="33.77734375" style="6" bestFit="1" customWidth="1"/>
    <col min="7184" max="7184" width="33.21875" style="6" bestFit="1" customWidth="1"/>
    <col min="7185" max="7185" width="33" style="6" bestFit="1" customWidth="1"/>
    <col min="7186" max="7421" width="17.21875" style="6"/>
    <col min="7422" max="7422" width="3.77734375" style="6" customWidth="1"/>
    <col min="7423" max="7423" width="9.77734375" style="6" bestFit="1" customWidth="1"/>
    <col min="7424" max="7424" width="23.21875" style="6" bestFit="1" customWidth="1"/>
    <col min="7425" max="7425" width="12.21875" style="6" bestFit="1" customWidth="1"/>
    <col min="7426" max="7426" width="11.77734375" style="6" bestFit="1" customWidth="1"/>
    <col min="7427" max="7427" width="53.5546875" style="6" bestFit="1" customWidth="1"/>
    <col min="7428" max="7428" width="33.21875" style="6" bestFit="1" customWidth="1"/>
    <col min="7429" max="7429" width="13" style="6" bestFit="1" customWidth="1"/>
    <col min="7430" max="7430" width="29.21875" style="6" bestFit="1" customWidth="1"/>
    <col min="7431" max="7431" width="24.21875" style="6" bestFit="1" customWidth="1"/>
    <col min="7432" max="7432" width="26.21875" style="6" bestFit="1" customWidth="1"/>
    <col min="7433" max="7433" width="23.5546875" style="6" bestFit="1" customWidth="1"/>
    <col min="7434" max="7434" width="20.21875" style="6" bestFit="1" customWidth="1"/>
    <col min="7435" max="7435" width="17.21875" style="6" bestFit="1" customWidth="1"/>
    <col min="7436" max="7436" width="28.21875" style="6" bestFit="1" customWidth="1"/>
    <col min="7437" max="7437" width="25.21875" style="6" bestFit="1" customWidth="1"/>
    <col min="7438" max="7438" width="18.21875" style="6" bestFit="1" customWidth="1"/>
    <col min="7439" max="7439" width="33.77734375" style="6" bestFit="1" customWidth="1"/>
    <col min="7440" max="7440" width="33.21875" style="6" bestFit="1" customWidth="1"/>
    <col min="7441" max="7441" width="33" style="6" bestFit="1" customWidth="1"/>
    <col min="7442" max="7677" width="17.21875" style="6"/>
    <col min="7678" max="7678" width="3.77734375" style="6" customWidth="1"/>
    <col min="7679" max="7679" width="9.77734375" style="6" bestFit="1" customWidth="1"/>
    <col min="7680" max="7680" width="23.21875" style="6" bestFit="1" customWidth="1"/>
    <col min="7681" max="7681" width="12.21875" style="6" bestFit="1" customWidth="1"/>
    <col min="7682" max="7682" width="11.77734375" style="6" bestFit="1" customWidth="1"/>
    <col min="7683" max="7683" width="53.5546875" style="6" bestFit="1" customWidth="1"/>
    <col min="7684" max="7684" width="33.21875" style="6" bestFit="1" customWidth="1"/>
    <col min="7685" max="7685" width="13" style="6" bestFit="1" customWidth="1"/>
    <col min="7686" max="7686" width="29.21875" style="6" bestFit="1" customWidth="1"/>
    <col min="7687" max="7687" width="24.21875" style="6" bestFit="1" customWidth="1"/>
    <col min="7688" max="7688" width="26.21875" style="6" bestFit="1" customWidth="1"/>
    <col min="7689" max="7689" width="23.5546875" style="6" bestFit="1" customWidth="1"/>
    <col min="7690" max="7690" width="20.21875" style="6" bestFit="1" customWidth="1"/>
    <col min="7691" max="7691" width="17.21875" style="6" bestFit="1" customWidth="1"/>
    <col min="7692" max="7692" width="28.21875" style="6" bestFit="1" customWidth="1"/>
    <col min="7693" max="7693" width="25.21875" style="6" bestFit="1" customWidth="1"/>
    <col min="7694" max="7694" width="18.21875" style="6" bestFit="1" customWidth="1"/>
    <col min="7695" max="7695" width="33.77734375" style="6" bestFit="1" customWidth="1"/>
    <col min="7696" max="7696" width="33.21875" style="6" bestFit="1" customWidth="1"/>
    <col min="7697" max="7697" width="33" style="6" bestFit="1" customWidth="1"/>
    <col min="7698" max="7933" width="17.21875" style="6"/>
    <col min="7934" max="7934" width="3.77734375" style="6" customWidth="1"/>
    <col min="7935" max="7935" width="9.77734375" style="6" bestFit="1" customWidth="1"/>
    <col min="7936" max="7936" width="23.21875" style="6" bestFit="1" customWidth="1"/>
    <col min="7937" max="7937" width="12.21875" style="6" bestFit="1" customWidth="1"/>
    <col min="7938" max="7938" width="11.77734375" style="6" bestFit="1" customWidth="1"/>
    <col min="7939" max="7939" width="53.5546875" style="6" bestFit="1" customWidth="1"/>
    <col min="7940" max="7940" width="33.21875" style="6" bestFit="1" customWidth="1"/>
    <col min="7941" max="7941" width="13" style="6" bestFit="1" customWidth="1"/>
    <col min="7942" max="7942" width="29.21875" style="6" bestFit="1" customWidth="1"/>
    <col min="7943" max="7943" width="24.21875" style="6" bestFit="1" customWidth="1"/>
    <col min="7944" max="7944" width="26.21875" style="6" bestFit="1" customWidth="1"/>
    <col min="7945" max="7945" width="23.5546875" style="6" bestFit="1" customWidth="1"/>
    <col min="7946" max="7946" width="20.21875" style="6" bestFit="1" customWidth="1"/>
    <col min="7947" max="7947" width="17.21875" style="6" bestFit="1" customWidth="1"/>
    <col min="7948" max="7948" width="28.21875" style="6" bestFit="1" customWidth="1"/>
    <col min="7949" max="7949" width="25.21875" style="6" bestFit="1" customWidth="1"/>
    <col min="7950" max="7950" width="18.21875" style="6" bestFit="1" customWidth="1"/>
    <col min="7951" max="7951" width="33.77734375" style="6" bestFit="1" customWidth="1"/>
    <col min="7952" max="7952" width="33.21875" style="6" bestFit="1" customWidth="1"/>
    <col min="7953" max="7953" width="33" style="6" bestFit="1" customWidth="1"/>
    <col min="7954" max="8189" width="17.21875" style="6"/>
    <col min="8190" max="8190" width="3.77734375" style="6" customWidth="1"/>
    <col min="8191" max="8191" width="9.77734375" style="6" bestFit="1" customWidth="1"/>
    <col min="8192" max="8192" width="23.21875" style="6" bestFit="1" customWidth="1"/>
    <col min="8193" max="8193" width="12.21875" style="6" bestFit="1" customWidth="1"/>
    <col min="8194" max="8194" width="11.77734375" style="6" bestFit="1" customWidth="1"/>
    <col min="8195" max="8195" width="53.5546875" style="6" bestFit="1" customWidth="1"/>
    <col min="8196" max="8196" width="33.21875" style="6" bestFit="1" customWidth="1"/>
    <col min="8197" max="8197" width="13" style="6" bestFit="1" customWidth="1"/>
    <col min="8198" max="8198" width="29.21875" style="6" bestFit="1" customWidth="1"/>
    <col min="8199" max="8199" width="24.21875" style="6" bestFit="1" customWidth="1"/>
    <col min="8200" max="8200" width="26.21875" style="6" bestFit="1" customWidth="1"/>
    <col min="8201" max="8201" width="23.5546875" style="6" bestFit="1" customWidth="1"/>
    <col min="8202" max="8202" width="20.21875" style="6" bestFit="1" customWidth="1"/>
    <col min="8203" max="8203" width="17.21875" style="6" bestFit="1" customWidth="1"/>
    <col min="8204" max="8204" width="28.21875" style="6" bestFit="1" customWidth="1"/>
    <col min="8205" max="8205" width="25.21875" style="6" bestFit="1" customWidth="1"/>
    <col min="8206" max="8206" width="18.21875" style="6" bestFit="1" customWidth="1"/>
    <col min="8207" max="8207" width="33.77734375" style="6" bestFit="1" customWidth="1"/>
    <col min="8208" max="8208" width="33.21875" style="6" bestFit="1" customWidth="1"/>
    <col min="8209" max="8209" width="33" style="6" bestFit="1" customWidth="1"/>
    <col min="8210" max="8445" width="17.21875" style="6"/>
    <col min="8446" max="8446" width="3.77734375" style="6" customWidth="1"/>
    <col min="8447" max="8447" width="9.77734375" style="6" bestFit="1" customWidth="1"/>
    <col min="8448" max="8448" width="23.21875" style="6" bestFit="1" customWidth="1"/>
    <col min="8449" max="8449" width="12.21875" style="6" bestFit="1" customWidth="1"/>
    <col min="8450" max="8450" width="11.77734375" style="6" bestFit="1" customWidth="1"/>
    <col min="8451" max="8451" width="53.5546875" style="6" bestFit="1" customWidth="1"/>
    <col min="8452" max="8452" width="33.21875" style="6" bestFit="1" customWidth="1"/>
    <col min="8453" max="8453" width="13" style="6" bestFit="1" customWidth="1"/>
    <col min="8454" max="8454" width="29.21875" style="6" bestFit="1" customWidth="1"/>
    <col min="8455" max="8455" width="24.21875" style="6" bestFit="1" customWidth="1"/>
    <col min="8456" max="8456" width="26.21875" style="6" bestFit="1" customWidth="1"/>
    <col min="8457" max="8457" width="23.5546875" style="6" bestFit="1" customWidth="1"/>
    <col min="8458" max="8458" width="20.21875" style="6" bestFit="1" customWidth="1"/>
    <col min="8459" max="8459" width="17.21875" style="6" bestFit="1" customWidth="1"/>
    <col min="8460" max="8460" width="28.21875" style="6" bestFit="1" customWidth="1"/>
    <col min="8461" max="8461" width="25.21875" style="6" bestFit="1" customWidth="1"/>
    <col min="8462" max="8462" width="18.21875" style="6" bestFit="1" customWidth="1"/>
    <col min="8463" max="8463" width="33.77734375" style="6" bestFit="1" customWidth="1"/>
    <col min="8464" max="8464" width="33.21875" style="6" bestFit="1" customWidth="1"/>
    <col min="8465" max="8465" width="33" style="6" bestFit="1" customWidth="1"/>
    <col min="8466" max="8701" width="17.21875" style="6"/>
    <col min="8702" max="8702" width="3.77734375" style="6" customWidth="1"/>
    <col min="8703" max="8703" width="9.77734375" style="6" bestFit="1" customWidth="1"/>
    <col min="8704" max="8704" width="23.21875" style="6" bestFit="1" customWidth="1"/>
    <col min="8705" max="8705" width="12.21875" style="6" bestFit="1" customWidth="1"/>
    <col min="8706" max="8706" width="11.77734375" style="6" bestFit="1" customWidth="1"/>
    <col min="8707" max="8707" width="53.5546875" style="6" bestFit="1" customWidth="1"/>
    <col min="8708" max="8708" width="33.21875" style="6" bestFit="1" customWidth="1"/>
    <col min="8709" max="8709" width="13" style="6" bestFit="1" customWidth="1"/>
    <col min="8710" max="8710" width="29.21875" style="6" bestFit="1" customWidth="1"/>
    <col min="8711" max="8711" width="24.21875" style="6" bestFit="1" customWidth="1"/>
    <col min="8712" max="8712" width="26.21875" style="6" bestFit="1" customWidth="1"/>
    <col min="8713" max="8713" width="23.5546875" style="6" bestFit="1" customWidth="1"/>
    <col min="8714" max="8714" width="20.21875" style="6" bestFit="1" customWidth="1"/>
    <col min="8715" max="8715" width="17.21875" style="6" bestFit="1" customWidth="1"/>
    <col min="8716" max="8716" width="28.21875" style="6" bestFit="1" customWidth="1"/>
    <col min="8717" max="8717" width="25.21875" style="6" bestFit="1" customWidth="1"/>
    <col min="8718" max="8718" width="18.21875" style="6" bestFit="1" customWidth="1"/>
    <col min="8719" max="8719" width="33.77734375" style="6" bestFit="1" customWidth="1"/>
    <col min="8720" max="8720" width="33.21875" style="6" bestFit="1" customWidth="1"/>
    <col min="8721" max="8721" width="33" style="6" bestFit="1" customWidth="1"/>
    <col min="8722" max="8957" width="17.21875" style="6"/>
    <col min="8958" max="8958" width="3.77734375" style="6" customWidth="1"/>
    <col min="8959" max="8959" width="9.77734375" style="6" bestFit="1" customWidth="1"/>
    <col min="8960" max="8960" width="23.21875" style="6" bestFit="1" customWidth="1"/>
    <col min="8961" max="8961" width="12.21875" style="6" bestFit="1" customWidth="1"/>
    <col min="8962" max="8962" width="11.77734375" style="6" bestFit="1" customWidth="1"/>
    <col min="8963" max="8963" width="53.5546875" style="6" bestFit="1" customWidth="1"/>
    <col min="8964" max="8964" width="33.21875" style="6" bestFit="1" customWidth="1"/>
    <col min="8965" max="8965" width="13" style="6" bestFit="1" customWidth="1"/>
    <col min="8966" max="8966" width="29.21875" style="6" bestFit="1" customWidth="1"/>
    <col min="8967" max="8967" width="24.21875" style="6" bestFit="1" customWidth="1"/>
    <col min="8968" max="8968" width="26.21875" style="6" bestFit="1" customWidth="1"/>
    <col min="8969" max="8969" width="23.5546875" style="6" bestFit="1" customWidth="1"/>
    <col min="8970" max="8970" width="20.21875" style="6" bestFit="1" customWidth="1"/>
    <col min="8971" max="8971" width="17.21875" style="6" bestFit="1" customWidth="1"/>
    <col min="8972" max="8972" width="28.21875" style="6" bestFit="1" customWidth="1"/>
    <col min="8973" max="8973" width="25.21875" style="6" bestFit="1" customWidth="1"/>
    <col min="8974" max="8974" width="18.21875" style="6" bestFit="1" customWidth="1"/>
    <col min="8975" max="8975" width="33.77734375" style="6" bestFit="1" customWidth="1"/>
    <col min="8976" max="8976" width="33.21875" style="6" bestFit="1" customWidth="1"/>
    <col min="8977" max="8977" width="33" style="6" bestFit="1" customWidth="1"/>
    <col min="8978" max="9213" width="17.21875" style="6"/>
    <col min="9214" max="9214" width="3.77734375" style="6" customWidth="1"/>
    <col min="9215" max="9215" width="9.77734375" style="6" bestFit="1" customWidth="1"/>
    <col min="9216" max="9216" width="23.21875" style="6" bestFit="1" customWidth="1"/>
    <col min="9217" max="9217" width="12.21875" style="6" bestFit="1" customWidth="1"/>
    <col min="9218" max="9218" width="11.77734375" style="6" bestFit="1" customWidth="1"/>
    <col min="9219" max="9219" width="53.5546875" style="6" bestFit="1" customWidth="1"/>
    <col min="9220" max="9220" width="33.21875" style="6" bestFit="1" customWidth="1"/>
    <col min="9221" max="9221" width="13" style="6" bestFit="1" customWidth="1"/>
    <col min="9222" max="9222" width="29.21875" style="6" bestFit="1" customWidth="1"/>
    <col min="9223" max="9223" width="24.21875" style="6" bestFit="1" customWidth="1"/>
    <col min="9224" max="9224" width="26.21875" style="6" bestFit="1" customWidth="1"/>
    <col min="9225" max="9225" width="23.5546875" style="6" bestFit="1" customWidth="1"/>
    <col min="9226" max="9226" width="20.21875" style="6" bestFit="1" customWidth="1"/>
    <col min="9227" max="9227" width="17.21875" style="6" bestFit="1" customWidth="1"/>
    <col min="9228" max="9228" width="28.21875" style="6" bestFit="1" customWidth="1"/>
    <col min="9229" max="9229" width="25.21875" style="6" bestFit="1" customWidth="1"/>
    <col min="9230" max="9230" width="18.21875" style="6" bestFit="1" customWidth="1"/>
    <col min="9231" max="9231" width="33.77734375" style="6" bestFit="1" customWidth="1"/>
    <col min="9232" max="9232" width="33.21875" style="6" bestFit="1" customWidth="1"/>
    <col min="9233" max="9233" width="33" style="6" bestFit="1" customWidth="1"/>
    <col min="9234" max="9469" width="17.21875" style="6"/>
    <col min="9470" max="9470" width="3.77734375" style="6" customWidth="1"/>
    <col min="9471" max="9471" width="9.77734375" style="6" bestFit="1" customWidth="1"/>
    <col min="9472" max="9472" width="23.21875" style="6" bestFit="1" customWidth="1"/>
    <col min="9473" max="9473" width="12.21875" style="6" bestFit="1" customWidth="1"/>
    <col min="9474" max="9474" width="11.77734375" style="6" bestFit="1" customWidth="1"/>
    <col min="9475" max="9475" width="53.5546875" style="6" bestFit="1" customWidth="1"/>
    <col min="9476" max="9476" width="33.21875" style="6" bestFit="1" customWidth="1"/>
    <col min="9477" max="9477" width="13" style="6" bestFit="1" customWidth="1"/>
    <col min="9478" max="9478" width="29.21875" style="6" bestFit="1" customWidth="1"/>
    <col min="9479" max="9479" width="24.21875" style="6" bestFit="1" customWidth="1"/>
    <col min="9480" max="9480" width="26.21875" style="6" bestFit="1" customWidth="1"/>
    <col min="9481" max="9481" width="23.5546875" style="6" bestFit="1" customWidth="1"/>
    <col min="9482" max="9482" width="20.21875" style="6" bestFit="1" customWidth="1"/>
    <col min="9483" max="9483" width="17.21875" style="6" bestFit="1" customWidth="1"/>
    <col min="9484" max="9484" width="28.21875" style="6" bestFit="1" customWidth="1"/>
    <col min="9485" max="9485" width="25.21875" style="6" bestFit="1" customWidth="1"/>
    <col min="9486" max="9486" width="18.21875" style="6" bestFit="1" customWidth="1"/>
    <col min="9487" max="9487" width="33.77734375" style="6" bestFit="1" customWidth="1"/>
    <col min="9488" max="9488" width="33.21875" style="6" bestFit="1" customWidth="1"/>
    <col min="9489" max="9489" width="33" style="6" bestFit="1" customWidth="1"/>
    <col min="9490" max="9725" width="17.21875" style="6"/>
    <col min="9726" max="9726" width="3.77734375" style="6" customWidth="1"/>
    <col min="9727" max="9727" width="9.77734375" style="6" bestFit="1" customWidth="1"/>
    <col min="9728" max="9728" width="23.21875" style="6" bestFit="1" customWidth="1"/>
    <col min="9729" max="9729" width="12.21875" style="6" bestFit="1" customWidth="1"/>
    <col min="9730" max="9730" width="11.77734375" style="6" bestFit="1" customWidth="1"/>
    <col min="9731" max="9731" width="53.5546875" style="6" bestFit="1" customWidth="1"/>
    <col min="9732" max="9732" width="33.21875" style="6" bestFit="1" customWidth="1"/>
    <col min="9733" max="9733" width="13" style="6" bestFit="1" customWidth="1"/>
    <col min="9734" max="9734" width="29.21875" style="6" bestFit="1" customWidth="1"/>
    <col min="9735" max="9735" width="24.21875" style="6" bestFit="1" customWidth="1"/>
    <col min="9736" max="9736" width="26.21875" style="6" bestFit="1" customWidth="1"/>
    <col min="9737" max="9737" width="23.5546875" style="6" bestFit="1" customWidth="1"/>
    <col min="9738" max="9738" width="20.21875" style="6" bestFit="1" customWidth="1"/>
    <col min="9739" max="9739" width="17.21875" style="6" bestFit="1" customWidth="1"/>
    <col min="9740" max="9740" width="28.21875" style="6" bestFit="1" customWidth="1"/>
    <col min="9741" max="9741" width="25.21875" style="6" bestFit="1" customWidth="1"/>
    <col min="9742" max="9742" width="18.21875" style="6" bestFit="1" customWidth="1"/>
    <col min="9743" max="9743" width="33.77734375" style="6" bestFit="1" customWidth="1"/>
    <col min="9744" max="9744" width="33.21875" style="6" bestFit="1" customWidth="1"/>
    <col min="9745" max="9745" width="33" style="6" bestFit="1" customWidth="1"/>
    <col min="9746" max="9981" width="17.21875" style="6"/>
    <col min="9982" max="9982" width="3.77734375" style="6" customWidth="1"/>
    <col min="9983" max="9983" width="9.77734375" style="6" bestFit="1" customWidth="1"/>
    <col min="9984" max="9984" width="23.21875" style="6" bestFit="1" customWidth="1"/>
    <col min="9985" max="9985" width="12.21875" style="6" bestFit="1" customWidth="1"/>
    <col min="9986" max="9986" width="11.77734375" style="6" bestFit="1" customWidth="1"/>
    <col min="9987" max="9987" width="53.5546875" style="6" bestFit="1" customWidth="1"/>
    <col min="9988" max="9988" width="33.21875" style="6" bestFit="1" customWidth="1"/>
    <col min="9989" max="9989" width="13" style="6" bestFit="1" customWidth="1"/>
    <col min="9990" max="9990" width="29.21875" style="6" bestFit="1" customWidth="1"/>
    <col min="9991" max="9991" width="24.21875" style="6" bestFit="1" customWidth="1"/>
    <col min="9992" max="9992" width="26.21875" style="6" bestFit="1" customWidth="1"/>
    <col min="9993" max="9993" width="23.5546875" style="6" bestFit="1" customWidth="1"/>
    <col min="9994" max="9994" width="20.21875" style="6" bestFit="1" customWidth="1"/>
    <col min="9995" max="9995" width="17.21875" style="6" bestFit="1" customWidth="1"/>
    <col min="9996" max="9996" width="28.21875" style="6" bestFit="1" customWidth="1"/>
    <col min="9997" max="9997" width="25.21875" style="6" bestFit="1" customWidth="1"/>
    <col min="9998" max="9998" width="18.21875" style="6" bestFit="1" customWidth="1"/>
    <col min="9999" max="9999" width="33.77734375" style="6" bestFit="1" customWidth="1"/>
    <col min="10000" max="10000" width="33.21875" style="6" bestFit="1" customWidth="1"/>
    <col min="10001" max="10001" width="33" style="6" bestFit="1" customWidth="1"/>
    <col min="10002" max="10237" width="17.21875" style="6"/>
    <col min="10238" max="10238" width="3.77734375" style="6" customWidth="1"/>
    <col min="10239" max="10239" width="9.77734375" style="6" bestFit="1" customWidth="1"/>
    <col min="10240" max="10240" width="23.21875" style="6" bestFit="1" customWidth="1"/>
    <col min="10241" max="10241" width="12.21875" style="6" bestFit="1" customWidth="1"/>
    <col min="10242" max="10242" width="11.77734375" style="6" bestFit="1" customWidth="1"/>
    <col min="10243" max="10243" width="53.5546875" style="6" bestFit="1" customWidth="1"/>
    <col min="10244" max="10244" width="33.21875" style="6" bestFit="1" customWidth="1"/>
    <col min="10245" max="10245" width="13" style="6" bestFit="1" customWidth="1"/>
    <col min="10246" max="10246" width="29.21875" style="6" bestFit="1" customWidth="1"/>
    <col min="10247" max="10247" width="24.21875" style="6" bestFit="1" customWidth="1"/>
    <col min="10248" max="10248" width="26.21875" style="6" bestFit="1" customWidth="1"/>
    <col min="10249" max="10249" width="23.5546875" style="6" bestFit="1" customWidth="1"/>
    <col min="10250" max="10250" width="20.21875" style="6" bestFit="1" customWidth="1"/>
    <col min="10251" max="10251" width="17.21875" style="6" bestFit="1" customWidth="1"/>
    <col min="10252" max="10252" width="28.21875" style="6" bestFit="1" customWidth="1"/>
    <col min="10253" max="10253" width="25.21875" style="6" bestFit="1" customWidth="1"/>
    <col min="10254" max="10254" width="18.21875" style="6" bestFit="1" customWidth="1"/>
    <col min="10255" max="10255" width="33.77734375" style="6" bestFit="1" customWidth="1"/>
    <col min="10256" max="10256" width="33.21875" style="6" bestFit="1" customWidth="1"/>
    <col min="10257" max="10257" width="33" style="6" bestFit="1" customWidth="1"/>
    <col min="10258" max="10493" width="17.21875" style="6"/>
    <col min="10494" max="10494" width="3.77734375" style="6" customWidth="1"/>
    <col min="10495" max="10495" width="9.77734375" style="6" bestFit="1" customWidth="1"/>
    <col min="10496" max="10496" width="23.21875" style="6" bestFit="1" customWidth="1"/>
    <col min="10497" max="10497" width="12.21875" style="6" bestFit="1" customWidth="1"/>
    <col min="10498" max="10498" width="11.77734375" style="6" bestFit="1" customWidth="1"/>
    <col min="10499" max="10499" width="53.5546875" style="6" bestFit="1" customWidth="1"/>
    <col min="10500" max="10500" width="33.21875" style="6" bestFit="1" customWidth="1"/>
    <col min="10501" max="10501" width="13" style="6" bestFit="1" customWidth="1"/>
    <col min="10502" max="10502" width="29.21875" style="6" bestFit="1" customWidth="1"/>
    <col min="10503" max="10503" width="24.21875" style="6" bestFit="1" customWidth="1"/>
    <col min="10504" max="10504" width="26.21875" style="6" bestFit="1" customWidth="1"/>
    <col min="10505" max="10505" width="23.5546875" style="6" bestFit="1" customWidth="1"/>
    <col min="10506" max="10506" width="20.21875" style="6" bestFit="1" customWidth="1"/>
    <col min="10507" max="10507" width="17.21875" style="6" bestFit="1" customWidth="1"/>
    <col min="10508" max="10508" width="28.21875" style="6" bestFit="1" customWidth="1"/>
    <col min="10509" max="10509" width="25.21875" style="6" bestFit="1" customWidth="1"/>
    <col min="10510" max="10510" width="18.21875" style="6" bestFit="1" customWidth="1"/>
    <col min="10511" max="10511" width="33.77734375" style="6" bestFit="1" customWidth="1"/>
    <col min="10512" max="10512" width="33.21875" style="6" bestFit="1" customWidth="1"/>
    <col min="10513" max="10513" width="33" style="6" bestFit="1" customWidth="1"/>
    <col min="10514" max="10749" width="17.21875" style="6"/>
    <col min="10750" max="10750" width="3.77734375" style="6" customWidth="1"/>
    <col min="10751" max="10751" width="9.77734375" style="6" bestFit="1" customWidth="1"/>
    <col min="10752" max="10752" width="23.21875" style="6" bestFit="1" customWidth="1"/>
    <col min="10753" max="10753" width="12.21875" style="6" bestFit="1" customWidth="1"/>
    <col min="10754" max="10754" width="11.77734375" style="6" bestFit="1" customWidth="1"/>
    <col min="10755" max="10755" width="53.5546875" style="6" bestFit="1" customWidth="1"/>
    <col min="10756" max="10756" width="33.21875" style="6" bestFit="1" customWidth="1"/>
    <col min="10757" max="10757" width="13" style="6" bestFit="1" customWidth="1"/>
    <col min="10758" max="10758" width="29.21875" style="6" bestFit="1" customWidth="1"/>
    <col min="10759" max="10759" width="24.21875" style="6" bestFit="1" customWidth="1"/>
    <col min="10760" max="10760" width="26.21875" style="6" bestFit="1" customWidth="1"/>
    <col min="10761" max="10761" width="23.5546875" style="6" bestFit="1" customWidth="1"/>
    <col min="10762" max="10762" width="20.21875" style="6" bestFit="1" customWidth="1"/>
    <col min="10763" max="10763" width="17.21875" style="6" bestFit="1" customWidth="1"/>
    <col min="10764" max="10764" width="28.21875" style="6" bestFit="1" customWidth="1"/>
    <col min="10765" max="10765" width="25.21875" style="6" bestFit="1" customWidth="1"/>
    <col min="10766" max="10766" width="18.21875" style="6" bestFit="1" customWidth="1"/>
    <col min="10767" max="10767" width="33.77734375" style="6" bestFit="1" customWidth="1"/>
    <col min="10768" max="10768" width="33.21875" style="6" bestFit="1" customWidth="1"/>
    <col min="10769" max="10769" width="33" style="6" bestFit="1" customWidth="1"/>
    <col min="10770" max="11005" width="17.21875" style="6"/>
    <col min="11006" max="11006" width="3.77734375" style="6" customWidth="1"/>
    <col min="11007" max="11007" width="9.77734375" style="6" bestFit="1" customWidth="1"/>
    <col min="11008" max="11008" width="23.21875" style="6" bestFit="1" customWidth="1"/>
    <col min="11009" max="11009" width="12.21875" style="6" bestFit="1" customWidth="1"/>
    <col min="11010" max="11010" width="11.77734375" style="6" bestFit="1" customWidth="1"/>
    <col min="11011" max="11011" width="53.5546875" style="6" bestFit="1" customWidth="1"/>
    <col min="11012" max="11012" width="33.21875" style="6" bestFit="1" customWidth="1"/>
    <col min="11013" max="11013" width="13" style="6" bestFit="1" customWidth="1"/>
    <col min="11014" max="11014" width="29.21875" style="6" bestFit="1" customWidth="1"/>
    <col min="11015" max="11015" width="24.21875" style="6" bestFit="1" customWidth="1"/>
    <col min="11016" max="11016" width="26.21875" style="6" bestFit="1" customWidth="1"/>
    <col min="11017" max="11017" width="23.5546875" style="6" bestFit="1" customWidth="1"/>
    <col min="11018" max="11018" width="20.21875" style="6" bestFit="1" customWidth="1"/>
    <col min="11019" max="11019" width="17.21875" style="6" bestFit="1" customWidth="1"/>
    <col min="11020" max="11020" width="28.21875" style="6" bestFit="1" customWidth="1"/>
    <col min="11021" max="11021" width="25.21875" style="6" bestFit="1" customWidth="1"/>
    <col min="11022" max="11022" width="18.21875" style="6" bestFit="1" customWidth="1"/>
    <col min="11023" max="11023" width="33.77734375" style="6" bestFit="1" customWidth="1"/>
    <col min="11024" max="11024" width="33.21875" style="6" bestFit="1" customWidth="1"/>
    <col min="11025" max="11025" width="33" style="6" bestFit="1" customWidth="1"/>
    <col min="11026" max="11261" width="17.21875" style="6"/>
    <col min="11262" max="11262" width="3.77734375" style="6" customWidth="1"/>
    <col min="11263" max="11263" width="9.77734375" style="6" bestFit="1" customWidth="1"/>
    <col min="11264" max="11264" width="23.21875" style="6" bestFit="1" customWidth="1"/>
    <col min="11265" max="11265" width="12.21875" style="6" bestFit="1" customWidth="1"/>
    <col min="11266" max="11266" width="11.77734375" style="6" bestFit="1" customWidth="1"/>
    <col min="11267" max="11267" width="53.5546875" style="6" bestFit="1" customWidth="1"/>
    <col min="11268" max="11268" width="33.21875" style="6" bestFit="1" customWidth="1"/>
    <col min="11269" max="11269" width="13" style="6" bestFit="1" customWidth="1"/>
    <col min="11270" max="11270" width="29.21875" style="6" bestFit="1" customWidth="1"/>
    <col min="11271" max="11271" width="24.21875" style="6" bestFit="1" customWidth="1"/>
    <col min="11272" max="11272" width="26.21875" style="6" bestFit="1" customWidth="1"/>
    <col min="11273" max="11273" width="23.5546875" style="6" bestFit="1" customWidth="1"/>
    <col min="11274" max="11274" width="20.21875" style="6" bestFit="1" customWidth="1"/>
    <col min="11275" max="11275" width="17.21875" style="6" bestFit="1" customWidth="1"/>
    <col min="11276" max="11276" width="28.21875" style="6" bestFit="1" customWidth="1"/>
    <col min="11277" max="11277" width="25.21875" style="6" bestFit="1" customWidth="1"/>
    <col min="11278" max="11278" width="18.21875" style="6" bestFit="1" customWidth="1"/>
    <col min="11279" max="11279" width="33.77734375" style="6" bestFit="1" customWidth="1"/>
    <col min="11280" max="11280" width="33.21875" style="6" bestFit="1" customWidth="1"/>
    <col min="11281" max="11281" width="33" style="6" bestFit="1" customWidth="1"/>
    <col min="11282" max="11517" width="17.21875" style="6"/>
    <col min="11518" max="11518" width="3.77734375" style="6" customWidth="1"/>
    <col min="11519" max="11519" width="9.77734375" style="6" bestFit="1" customWidth="1"/>
    <col min="11520" max="11520" width="23.21875" style="6" bestFit="1" customWidth="1"/>
    <col min="11521" max="11521" width="12.21875" style="6" bestFit="1" customWidth="1"/>
    <col min="11522" max="11522" width="11.77734375" style="6" bestFit="1" customWidth="1"/>
    <col min="11523" max="11523" width="53.5546875" style="6" bestFit="1" customWidth="1"/>
    <col min="11524" max="11524" width="33.21875" style="6" bestFit="1" customWidth="1"/>
    <col min="11525" max="11525" width="13" style="6" bestFit="1" customWidth="1"/>
    <col min="11526" max="11526" width="29.21875" style="6" bestFit="1" customWidth="1"/>
    <col min="11527" max="11527" width="24.21875" style="6" bestFit="1" customWidth="1"/>
    <col min="11528" max="11528" width="26.21875" style="6" bestFit="1" customWidth="1"/>
    <col min="11529" max="11529" width="23.5546875" style="6" bestFit="1" customWidth="1"/>
    <col min="11530" max="11530" width="20.21875" style="6" bestFit="1" customWidth="1"/>
    <col min="11531" max="11531" width="17.21875" style="6" bestFit="1" customWidth="1"/>
    <col min="11532" max="11532" width="28.21875" style="6" bestFit="1" customWidth="1"/>
    <col min="11533" max="11533" width="25.21875" style="6" bestFit="1" customWidth="1"/>
    <col min="11534" max="11534" width="18.21875" style="6" bestFit="1" customWidth="1"/>
    <col min="11535" max="11535" width="33.77734375" style="6" bestFit="1" customWidth="1"/>
    <col min="11536" max="11536" width="33.21875" style="6" bestFit="1" customWidth="1"/>
    <col min="11537" max="11537" width="33" style="6" bestFit="1" customWidth="1"/>
    <col min="11538" max="11773" width="17.21875" style="6"/>
    <col min="11774" max="11774" width="3.77734375" style="6" customWidth="1"/>
    <col min="11775" max="11775" width="9.77734375" style="6" bestFit="1" customWidth="1"/>
    <col min="11776" max="11776" width="23.21875" style="6" bestFit="1" customWidth="1"/>
    <col min="11777" max="11777" width="12.21875" style="6" bestFit="1" customWidth="1"/>
    <col min="11778" max="11778" width="11.77734375" style="6" bestFit="1" customWidth="1"/>
    <col min="11779" max="11779" width="53.5546875" style="6" bestFit="1" customWidth="1"/>
    <col min="11780" max="11780" width="33.21875" style="6" bestFit="1" customWidth="1"/>
    <col min="11781" max="11781" width="13" style="6" bestFit="1" customWidth="1"/>
    <col min="11782" max="11782" width="29.21875" style="6" bestFit="1" customWidth="1"/>
    <col min="11783" max="11783" width="24.21875" style="6" bestFit="1" customWidth="1"/>
    <col min="11784" max="11784" width="26.21875" style="6" bestFit="1" customWidth="1"/>
    <col min="11785" max="11785" width="23.5546875" style="6" bestFit="1" customWidth="1"/>
    <col min="11786" max="11786" width="20.21875" style="6" bestFit="1" customWidth="1"/>
    <col min="11787" max="11787" width="17.21875" style="6" bestFit="1" customWidth="1"/>
    <col min="11788" max="11788" width="28.21875" style="6" bestFit="1" customWidth="1"/>
    <col min="11789" max="11789" width="25.21875" style="6" bestFit="1" customWidth="1"/>
    <col min="11790" max="11790" width="18.21875" style="6" bestFit="1" customWidth="1"/>
    <col min="11791" max="11791" width="33.77734375" style="6" bestFit="1" customWidth="1"/>
    <col min="11792" max="11792" width="33.21875" style="6" bestFit="1" customWidth="1"/>
    <col min="11793" max="11793" width="33" style="6" bestFit="1" customWidth="1"/>
    <col min="11794" max="12029" width="17.21875" style="6"/>
    <col min="12030" max="12030" width="3.77734375" style="6" customWidth="1"/>
    <col min="12031" max="12031" width="9.77734375" style="6" bestFit="1" customWidth="1"/>
    <col min="12032" max="12032" width="23.21875" style="6" bestFit="1" customWidth="1"/>
    <col min="12033" max="12033" width="12.21875" style="6" bestFit="1" customWidth="1"/>
    <col min="12034" max="12034" width="11.77734375" style="6" bestFit="1" customWidth="1"/>
    <col min="12035" max="12035" width="53.5546875" style="6" bestFit="1" customWidth="1"/>
    <col min="12036" max="12036" width="33.21875" style="6" bestFit="1" customWidth="1"/>
    <col min="12037" max="12037" width="13" style="6" bestFit="1" customWidth="1"/>
    <col min="12038" max="12038" width="29.21875" style="6" bestFit="1" customWidth="1"/>
    <col min="12039" max="12039" width="24.21875" style="6" bestFit="1" customWidth="1"/>
    <col min="12040" max="12040" width="26.21875" style="6" bestFit="1" customWidth="1"/>
    <col min="12041" max="12041" width="23.5546875" style="6" bestFit="1" customWidth="1"/>
    <col min="12042" max="12042" width="20.21875" style="6" bestFit="1" customWidth="1"/>
    <col min="12043" max="12043" width="17.21875" style="6" bestFit="1" customWidth="1"/>
    <col min="12044" max="12044" width="28.21875" style="6" bestFit="1" customWidth="1"/>
    <col min="12045" max="12045" width="25.21875" style="6" bestFit="1" customWidth="1"/>
    <col min="12046" max="12046" width="18.21875" style="6" bestFit="1" customWidth="1"/>
    <col min="12047" max="12047" width="33.77734375" style="6" bestFit="1" customWidth="1"/>
    <col min="12048" max="12048" width="33.21875" style="6" bestFit="1" customWidth="1"/>
    <col min="12049" max="12049" width="33" style="6" bestFit="1" customWidth="1"/>
    <col min="12050" max="12285" width="17.21875" style="6"/>
    <col min="12286" max="12286" width="3.77734375" style="6" customWidth="1"/>
    <col min="12287" max="12287" width="9.77734375" style="6" bestFit="1" customWidth="1"/>
    <col min="12288" max="12288" width="23.21875" style="6" bestFit="1" customWidth="1"/>
    <col min="12289" max="12289" width="12.21875" style="6" bestFit="1" customWidth="1"/>
    <col min="12290" max="12290" width="11.77734375" style="6" bestFit="1" customWidth="1"/>
    <col min="12291" max="12291" width="53.5546875" style="6" bestFit="1" customWidth="1"/>
    <col min="12292" max="12292" width="33.21875" style="6" bestFit="1" customWidth="1"/>
    <col min="12293" max="12293" width="13" style="6" bestFit="1" customWidth="1"/>
    <col min="12294" max="12294" width="29.21875" style="6" bestFit="1" customWidth="1"/>
    <col min="12295" max="12295" width="24.21875" style="6" bestFit="1" customWidth="1"/>
    <col min="12296" max="12296" width="26.21875" style="6" bestFit="1" customWidth="1"/>
    <col min="12297" max="12297" width="23.5546875" style="6" bestFit="1" customWidth="1"/>
    <col min="12298" max="12298" width="20.21875" style="6" bestFit="1" customWidth="1"/>
    <col min="12299" max="12299" width="17.21875" style="6" bestFit="1" customWidth="1"/>
    <col min="12300" max="12300" width="28.21875" style="6" bestFit="1" customWidth="1"/>
    <col min="12301" max="12301" width="25.21875" style="6" bestFit="1" customWidth="1"/>
    <col min="12302" max="12302" width="18.21875" style="6" bestFit="1" customWidth="1"/>
    <col min="12303" max="12303" width="33.77734375" style="6" bestFit="1" customWidth="1"/>
    <col min="12304" max="12304" width="33.21875" style="6" bestFit="1" customWidth="1"/>
    <col min="12305" max="12305" width="33" style="6" bestFit="1" customWidth="1"/>
    <col min="12306" max="12541" width="17.21875" style="6"/>
    <col min="12542" max="12542" width="3.77734375" style="6" customWidth="1"/>
    <col min="12543" max="12543" width="9.77734375" style="6" bestFit="1" customWidth="1"/>
    <col min="12544" max="12544" width="23.21875" style="6" bestFit="1" customWidth="1"/>
    <col min="12545" max="12545" width="12.21875" style="6" bestFit="1" customWidth="1"/>
    <col min="12546" max="12546" width="11.77734375" style="6" bestFit="1" customWidth="1"/>
    <col min="12547" max="12547" width="53.5546875" style="6" bestFit="1" customWidth="1"/>
    <col min="12548" max="12548" width="33.21875" style="6" bestFit="1" customWidth="1"/>
    <col min="12549" max="12549" width="13" style="6" bestFit="1" customWidth="1"/>
    <col min="12550" max="12550" width="29.21875" style="6" bestFit="1" customWidth="1"/>
    <col min="12551" max="12551" width="24.21875" style="6" bestFit="1" customWidth="1"/>
    <col min="12552" max="12552" width="26.21875" style="6" bestFit="1" customWidth="1"/>
    <col min="12553" max="12553" width="23.5546875" style="6" bestFit="1" customWidth="1"/>
    <col min="12554" max="12554" width="20.21875" style="6" bestFit="1" customWidth="1"/>
    <col min="12555" max="12555" width="17.21875" style="6" bestFit="1" customWidth="1"/>
    <col min="12556" max="12556" width="28.21875" style="6" bestFit="1" customWidth="1"/>
    <col min="12557" max="12557" width="25.21875" style="6" bestFit="1" customWidth="1"/>
    <col min="12558" max="12558" width="18.21875" style="6" bestFit="1" customWidth="1"/>
    <col min="12559" max="12559" width="33.77734375" style="6" bestFit="1" customWidth="1"/>
    <col min="12560" max="12560" width="33.21875" style="6" bestFit="1" customWidth="1"/>
    <col min="12561" max="12561" width="33" style="6" bestFit="1" customWidth="1"/>
    <col min="12562" max="12797" width="17.21875" style="6"/>
    <col min="12798" max="12798" width="3.77734375" style="6" customWidth="1"/>
    <col min="12799" max="12799" width="9.77734375" style="6" bestFit="1" customWidth="1"/>
    <col min="12800" max="12800" width="23.21875" style="6" bestFit="1" customWidth="1"/>
    <col min="12801" max="12801" width="12.21875" style="6" bestFit="1" customWidth="1"/>
    <col min="12802" max="12802" width="11.77734375" style="6" bestFit="1" customWidth="1"/>
    <col min="12803" max="12803" width="53.5546875" style="6" bestFit="1" customWidth="1"/>
    <col min="12804" max="12804" width="33.21875" style="6" bestFit="1" customWidth="1"/>
    <col min="12805" max="12805" width="13" style="6" bestFit="1" customWidth="1"/>
    <col min="12806" max="12806" width="29.21875" style="6" bestFit="1" customWidth="1"/>
    <col min="12807" max="12807" width="24.21875" style="6" bestFit="1" customWidth="1"/>
    <col min="12808" max="12808" width="26.21875" style="6" bestFit="1" customWidth="1"/>
    <col min="12809" max="12809" width="23.5546875" style="6" bestFit="1" customWidth="1"/>
    <col min="12810" max="12810" width="20.21875" style="6" bestFit="1" customWidth="1"/>
    <col min="12811" max="12811" width="17.21875" style="6" bestFit="1" customWidth="1"/>
    <col min="12812" max="12812" width="28.21875" style="6" bestFit="1" customWidth="1"/>
    <col min="12813" max="12813" width="25.21875" style="6" bestFit="1" customWidth="1"/>
    <col min="12814" max="12814" width="18.21875" style="6" bestFit="1" customWidth="1"/>
    <col min="12815" max="12815" width="33.77734375" style="6" bestFit="1" customWidth="1"/>
    <col min="12816" max="12816" width="33.21875" style="6" bestFit="1" customWidth="1"/>
    <col min="12817" max="12817" width="33" style="6" bestFit="1" customWidth="1"/>
    <col min="12818" max="13053" width="17.21875" style="6"/>
    <col min="13054" max="13054" width="3.77734375" style="6" customWidth="1"/>
    <col min="13055" max="13055" width="9.77734375" style="6" bestFit="1" customWidth="1"/>
    <col min="13056" max="13056" width="23.21875" style="6" bestFit="1" customWidth="1"/>
    <col min="13057" max="13057" width="12.21875" style="6" bestFit="1" customWidth="1"/>
    <col min="13058" max="13058" width="11.77734375" style="6" bestFit="1" customWidth="1"/>
    <col min="13059" max="13059" width="53.5546875" style="6" bestFit="1" customWidth="1"/>
    <col min="13060" max="13060" width="33.21875" style="6" bestFit="1" customWidth="1"/>
    <col min="13061" max="13061" width="13" style="6" bestFit="1" customWidth="1"/>
    <col min="13062" max="13062" width="29.21875" style="6" bestFit="1" customWidth="1"/>
    <col min="13063" max="13063" width="24.21875" style="6" bestFit="1" customWidth="1"/>
    <col min="13064" max="13064" width="26.21875" style="6" bestFit="1" customWidth="1"/>
    <col min="13065" max="13065" width="23.5546875" style="6" bestFit="1" customWidth="1"/>
    <col min="13066" max="13066" width="20.21875" style="6" bestFit="1" customWidth="1"/>
    <col min="13067" max="13067" width="17.21875" style="6" bestFit="1" customWidth="1"/>
    <col min="13068" max="13068" width="28.21875" style="6" bestFit="1" customWidth="1"/>
    <col min="13069" max="13069" width="25.21875" style="6" bestFit="1" customWidth="1"/>
    <col min="13070" max="13070" width="18.21875" style="6" bestFit="1" customWidth="1"/>
    <col min="13071" max="13071" width="33.77734375" style="6" bestFit="1" customWidth="1"/>
    <col min="13072" max="13072" width="33.21875" style="6" bestFit="1" customWidth="1"/>
    <col min="13073" max="13073" width="33" style="6" bestFit="1" customWidth="1"/>
    <col min="13074" max="13309" width="17.21875" style="6"/>
    <col min="13310" max="13310" width="3.77734375" style="6" customWidth="1"/>
    <col min="13311" max="13311" width="9.77734375" style="6" bestFit="1" customWidth="1"/>
    <col min="13312" max="13312" width="23.21875" style="6" bestFit="1" customWidth="1"/>
    <col min="13313" max="13313" width="12.21875" style="6" bestFit="1" customWidth="1"/>
    <col min="13314" max="13314" width="11.77734375" style="6" bestFit="1" customWidth="1"/>
    <col min="13315" max="13315" width="53.5546875" style="6" bestFit="1" customWidth="1"/>
    <col min="13316" max="13316" width="33.21875" style="6" bestFit="1" customWidth="1"/>
    <col min="13317" max="13317" width="13" style="6" bestFit="1" customWidth="1"/>
    <col min="13318" max="13318" width="29.21875" style="6" bestFit="1" customWidth="1"/>
    <col min="13319" max="13319" width="24.21875" style="6" bestFit="1" customWidth="1"/>
    <col min="13320" max="13320" width="26.21875" style="6" bestFit="1" customWidth="1"/>
    <col min="13321" max="13321" width="23.5546875" style="6" bestFit="1" customWidth="1"/>
    <col min="13322" max="13322" width="20.21875" style="6" bestFit="1" customWidth="1"/>
    <col min="13323" max="13323" width="17.21875" style="6" bestFit="1" customWidth="1"/>
    <col min="13324" max="13324" width="28.21875" style="6" bestFit="1" customWidth="1"/>
    <col min="13325" max="13325" width="25.21875" style="6" bestFit="1" customWidth="1"/>
    <col min="13326" max="13326" width="18.21875" style="6" bestFit="1" customWidth="1"/>
    <col min="13327" max="13327" width="33.77734375" style="6" bestFit="1" customWidth="1"/>
    <col min="13328" max="13328" width="33.21875" style="6" bestFit="1" customWidth="1"/>
    <col min="13329" max="13329" width="33" style="6" bestFit="1" customWidth="1"/>
    <col min="13330" max="13565" width="17.21875" style="6"/>
    <col min="13566" max="13566" width="3.77734375" style="6" customWidth="1"/>
    <col min="13567" max="13567" width="9.77734375" style="6" bestFit="1" customWidth="1"/>
    <col min="13568" max="13568" width="23.21875" style="6" bestFit="1" customWidth="1"/>
    <col min="13569" max="13569" width="12.21875" style="6" bestFit="1" customWidth="1"/>
    <col min="13570" max="13570" width="11.77734375" style="6" bestFit="1" customWidth="1"/>
    <col min="13571" max="13571" width="53.5546875" style="6" bestFit="1" customWidth="1"/>
    <col min="13572" max="13572" width="33.21875" style="6" bestFit="1" customWidth="1"/>
    <col min="13573" max="13573" width="13" style="6" bestFit="1" customWidth="1"/>
    <col min="13574" max="13574" width="29.21875" style="6" bestFit="1" customWidth="1"/>
    <col min="13575" max="13575" width="24.21875" style="6" bestFit="1" customWidth="1"/>
    <col min="13576" max="13576" width="26.21875" style="6" bestFit="1" customWidth="1"/>
    <col min="13577" max="13577" width="23.5546875" style="6" bestFit="1" customWidth="1"/>
    <col min="13578" max="13578" width="20.21875" style="6" bestFit="1" customWidth="1"/>
    <col min="13579" max="13579" width="17.21875" style="6" bestFit="1" customWidth="1"/>
    <col min="13580" max="13580" width="28.21875" style="6" bestFit="1" customWidth="1"/>
    <col min="13581" max="13581" width="25.21875" style="6" bestFit="1" customWidth="1"/>
    <col min="13582" max="13582" width="18.21875" style="6" bestFit="1" customWidth="1"/>
    <col min="13583" max="13583" width="33.77734375" style="6" bestFit="1" customWidth="1"/>
    <col min="13584" max="13584" width="33.21875" style="6" bestFit="1" customWidth="1"/>
    <col min="13585" max="13585" width="33" style="6" bestFit="1" customWidth="1"/>
    <col min="13586" max="13821" width="17.21875" style="6"/>
    <col min="13822" max="13822" width="3.77734375" style="6" customWidth="1"/>
    <col min="13823" max="13823" width="9.77734375" style="6" bestFit="1" customWidth="1"/>
    <col min="13824" max="13824" width="23.21875" style="6" bestFit="1" customWidth="1"/>
    <col min="13825" max="13825" width="12.21875" style="6" bestFit="1" customWidth="1"/>
    <col min="13826" max="13826" width="11.77734375" style="6" bestFit="1" customWidth="1"/>
    <col min="13827" max="13827" width="53.5546875" style="6" bestFit="1" customWidth="1"/>
    <col min="13828" max="13828" width="33.21875" style="6" bestFit="1" customWidth="1"/>
    <col min="13829" max="13829" width="13" style="6" bestFit="1" customWidth="1"/>
    <col min="13830" max="13830" width="29.21875" style="6" bestFit="1" customWidth="1"/>
    <col min="13831" max="13831" width="24.21875" style="6" bestFit="1" customWidth="1"/>
    <col min="13832" max="13832" width="26.21875" style="6" bestFit="1" customWidth="1"/>
    <col min="13833" max="13833" width="23.5546875" style="6" bestFit="1" customWidth="1"/>
    <col min="13834" max="13834" width="20.21875" style="6" bestFit="1" customWidth="1"/>
    <col min="13835" max="13835" width="17.21875" style="6" bestFit="1" customWidth="1"/>
    <col min="13836" max="13836" width="28.21875" style="6" bestFit="1" customWidth="1"/>
    <col min="13837" max="13837" width="25.21875" style="6" bestFit="1" customWidth="1"/>
    <col min="13838" max="13838" width="18.21875" style="6" bestFit="1" customWidth="1"/>
    <col min="13839" max="13839" width="33.77734375" style="6" bestFit="1" customWidth="1"/>
    <col min="13840" max="13840" width="33.21875" style="6" bestFit="1" customWidth="1"/>
    <col min="13841" max="13841" width="33" style="6" bestFit="1" customWidth="1"/>
    <col min="13842" max="14077" width="17.21875" style="6"/>
    <col min="14078" max="14078" width="3.77734375" style="6" customWidth="1"/>
    <col min="14079" max="14079" width="9.77734375" style="6" bestFit="1" customWidth="1"/>
    <col min="14080" max="14080" width="23.21875" style="6" bestFit="1" customWidth="1"/>
    <col min="14081" max="14081" width="12.21875" style="6" bestFit="1" customWidth="1"/>
    <col min="14082" max="14082" width="11.77734375" style="6" bestFit="1" customWidth="1"/>
    <col min="14083" max="14083" width="53.5546875" style="6" bestFit="1" customWidth="1"/>
    <col min="14084" max="14084" width="33.21875" style="6" bestFit="1" customWidth="1"/>
    <col min="14085" max="14085" width="13" style="6" bestFit="1" customWidth="1"/>
    <col min="14086" max="14086" width="29.21875" style="6" bestFit="1" customWidth="1"/>
    <col min="14087" max="14087" width="24.21875" style="6" bestFit="1" customWidth="1"/>
    <col min="14088" max="14088" width="26.21875" style="6" bestFit="1" customWidth="1"/>
    <col min="14089" max="14089" width="23.5546875" style="6" bestFit="1" customWidth="1"/>
    <col min="14090" max="14090" width="20.21875" style="6" bestFit="1" customWidth="1"/>
    <col min="14091" max="14091" width="17.21875" style="6" bestFit="1" customWidth="1"/>
    <col min="14092" max="14092" width="28.21875" style="6" bestFit="1" customWidth="1"/>
    <col min="14093" max="14093" width="25.21875" style="6" bestFit="1" customWidth="1"/>
    <col min="14094" max="14094" width="18.21875" style="6" bestFit="1" customWidth="1"/>
    <col min="14095" max="14095" width="33.77734375" style="6" bestFit="1" customWidth="1"/>
    <col min="14096" max="14096" width="33.21875" style="6" bestFit="1" customWidth="1"/>
    <col min="14097" max="14097" width="33" style="6" bestFit="1" customWidth="1"/>
    <col min="14098" max="14333" width="17.21875" style="6"/>
    <col min="14334" max="14334" width="3.77734375" style="6" customWidth="1"/>
    <col min="14335" max="14335" width="9.77734375" style="6" bestFit="1" customWidth="1"/>
    <col min="14336" max="14336" width="23.21875" style="6" bestFit="1" customWidth="1"/>
    <col min="14337" max="14337" width="12.21875" style="6" bestFit="1" customWidth="1"/>
    <col min="14338" max="14338" width="11.77734375" style="6" bestFit="1" customWidth="1"/>
    <col min="14339" max="14339" width="53.5546875" style="6" bestFit="1" customWidth="1"/>
    <col min="14340" max="14340" width="33.21875" style="6" bestFit="1" customWidth="1"/>
    <col min="14341" max="14341" width="13" style="6" bestFit="1" customWidth="1"/>
    <col min="14342" max="14342" width="29.21875" style="6" bestFit="1" customWidth="1"/>
    <col min="14343" max="14343" width="24.21875" style="6" bestFit="1" customWidth="1"/>
    <col min="14344" max="14344" width="26.21875" style="6" bestFit="1" customWidth="1"/>
    <col min="14345" max="14345" width="23.5546875" style="6" bestFit="1" customWidth="1"/>
    <col min="14346" max="14346" width="20.21875" style="6" bestFit="1" customWidth="1"/>
    <col min="14347" max="14347" width="17.21875" style="6" bestFit="1" customWidth="1"/>
    <col min="14348" max="14348" width="28.21875" style="6" bestFit="1" customWidth="1"/>
    <col min="14349" max="14349" width="25.21875" style="6" bestFit="1" customWidth="1"/>
    <col min="14350" max="14350" width="18.21875" style="6" bestFit="1" customWidth="1"/>
    <col min="14351" max="14351" width="33.77734375" style="6" bestFit="1" customWidth="1"/>
    <col min="14352" max="14352" width="33.21875" style="6" bestFit="1" customWidth="1"/>
    <col min="14353" max="14353" width="33" style="6" bestFit="1" customWidth="1"/>
    <col min="14354" max="14589" width="17.21875" style="6"/>
    <col min="14590" max="14590" width="3.77734375" style="6" customWidth="1"/>
    <col min="14591" max="14591" width="9.77734375" style="6" bestFit="1" customWidth="1"/>
    <col min="14592" max="14592" width="23.21875" style="6" bestFit="1" customWidth="1"/>
    <col min="14593" max="14593" width="12.21875" style="6" bestFit="1" customWidth="1"/>
    <col min="14594" max="14594" width="11.77734375" style="6" bestFit="1" customWidth="1"/>
    <col min="14595" max="14595" width="53.5546875" style="6" bestFit="1" customWidth="1"/>
    <col min="14596" max="14596" width="33.21875" style="6" bestFit="1" customWidth="1"/>
    <col min="14597" max="14597" width="13" style="6" bestFit="1" customWidth="1"/>
    <col min="14598" max="14598" width="29.21875" style="6" bestFit="1" customWidth="1"/>
    <col min="14599" max="14599" width="24.21875" style="6" bestFit="1" customWidth="1"/>
    <col min="14600" max="14600" width="26.21875" style="6" bestFit="1" customWidth="1"/>
    <col min="14601" max="14601" width="23.5546875" style="6" bestFit="1" customWidth="1"/>
    <col min="14602" max="14602" width="20.21875" style="6" bestFit="1" customWidth="1"/>
    <col min="14603" max="14603" width="17.21875" style="6" bestFit="1" customWidth="1"/>
    <col min="14604" max="14604" width="28.21875" style="6" bestFit="1" customWidth="1"/>
    <col min="14605" max="14605" width="25.21875" style="6" bestFit="1" customWidth="1"/>
    <col min="14606" max="14606" width="18.21875" style="6" bestFit="1" customWidth="1"/>
    <col min="14607" max="14607" width="33.77734375" style="6" bestFit="1" customWidth="1"/>
    <col min="14608" max="14608" width="33.21875" style="6" bestFit="1" customWidth="1"/>
    <col min="14609" max="14609" width="33" style="6" bestFit="1" customWidth="1"/>
    <col min="14610" max="14845" width="17.21875" style="6"/>
    <col min="14846" max="14846" width="3.77734375" style="6" customWidth="1"/>
    <col min="14847" max="14847" width="9.77734375" style="6" bestFit="1" customWidth="1"/>
    <col min="14848" max="14848" width="23.21875" style="6" bestFit="1" customWidth="1"/>
    <col min="14849" max="14849" width="12.21875" style="6" bestFit="1" customWidth="1"/>
    <col min="14850" max="14850" width="11.77734375" style="6" bestFit="1" customWidth="1"/>
    <col min="14851" max="14851" width="53.5546875" style="6" bestFit="1" customWidth="1"/>
    <col min="14852" max="14852" width="33.21875" style="6" bestFit="1" customWidth="1"/>
    <col min="14853" max="14853" width="13" style="6" bestFit="1" customWidth="1"/>
    <col min="14854" max="14854" width="29.21875" style="6" bestFit="1" customWidth="1"/>
    <col min="14855" max="14855" width="24.21875" style="6" bestFit="1" customWidth="1"/>
    <col min="14856" max="14856" width="26.21875" style="6" bestFit="1" customWidth="1"/>
    <col min="14857" max="14857" width="23.5546875" style="6" bestFit="1" customWidth="1"/>
    <col min="14858" max="14858" width="20.21875" style="6" bestFit="1" customWidth="1"/>
    <col min="14859" max="14859" width="17.21875" style="6" bestFit="1" customWidth="1"/>
    <col min="14860" max="14860" width="28.21875" style="6" bestFit="1" customWidth="1"/>
    <col min="14861" max="14861" width="25.21875" style="6" bestFit="1" customWidth="1"/>
    <col min="14862" max="14862" width="18.21875" style="6" bestFit="1" customWidth="1"/>
    <col min="14863" max="14863" width="33.77734375" style="6" bestFit="1" customWidth="1"/>
    <col min="14864" max="14864" width="33.21875" style="6" bestFit="1" customWidth="1"/>
    <col min="14865" max="14865" width="33" style="6" bestFit="1" customWidth="1"/>
    <col min="14866" max="15101" width="17.21875" style="6"/>
    <col min="15102" max="15102" width="3.77734375" style="6" customWidth="1"/>
    <col min="15103" max="15103" width="9.77734375" style="6" bestFit="1" customWidth="1"/>
    <col min="15104" max="15104" width="23.21875" style="6" bestFit="1" customWidth="1"/>
    <col min="15105" max="15105" width="12.21875" style="6" bestFit="1" customWidth="1"/>
    <col min="15106" max="15106" width="11.77734375" style="6" bestFit="1" customWidth="1"/>
    <col min="15107" max="15107" width="53.5546875" style="6" bestFit="1" customWidth="1"/>
    <col min="15108" max="15108" width="33.21875" style="6" bestFit="1" customWidth="1"/>
    <col min="15109" max="15109" width="13" style="6" bestFit="1" customWidth="1"/>
    <col min="15110" max="15110" width="29.21875" style="6" bestFit="1" customWidth="1"/>
    <col min="15111" max="15111" width="24.21875" style="6" bestFit="1" customWidth="1"/>
    <col min="15112" max="15112" width="26.21875" style="6" bestFit="1" customWidth="1"/>
    <col min="15113" max="15113" width="23.5546875" style="6" bestFit="1" customWidth="1"/>
    <col min="15114" max="15114" width="20.21875" style="6" bestFit="1" customWidth="1"/>
    <col min="15115" max="15115" width="17.21875" style="6" bestFit="1" customWidth="1"/>
    <col min="15116" max="15116" width="28.21875" style="6" bestFit="1" customWidth="1"/>
    <col min="15117" max="15117" width="25.21875" style="6" bestFit="1" customWidth="1"/>
    <col min="15118" max="15118" width="18.21875" style="6" bestFit="1" customWidth="1"/>
    <col min="15119" max="15119" width="33.77734375" style="6" bestFit="1" customWidth="1"/>
    <col min="15120" max="15120" width="33.21875" style="6" bestFit="1" customWidth="1"/>
    <col min="15121" max="15121" width="33" style="6" bestFit="1" customWidth="1"/>
    <col min="15122" max="15357" width="17.21875" style="6"/>
    <col min="15358" max="15358" width="3.77734375" style="6" customWidth="1"/>
    <col min="15359" max="15359" width="9.77734375" style="6" bestFit="1" customWidth="1"/>
    <col min="15360" max="15360" width="23.21875" style="6" bestFit="1" customWidth="1"/>
    <col min="15361" max="15361" width="12.21875" style="6" bestFit="1" customWidth="1"/>
    <col min="15362" max="15362" width="11.77734375" style="6" bestFit="1" customWidth="1"/>
    <col min="15363" max="15363" width="53.5546875" style="6" bestFit="1" customWidth="1"/>
    <col min="15364" max="15364" width="33.21875" style="6" bestFit="1" customWidth="1"/>
    <col min="15365" max="15365" width="13" style="6" bestFit="1" customWidth="1"/>
    <col min="15366" max="15366" width="29.21875" style="6" bestFit="1" customWidth="1"/>
    <col min="15367" max="15367" width="24.21875" style="6" bestFit="1" customWidth="1"/>
    <col min="15368" max="15368" width="26.21875" style="6" bestFit="1" customWidth="1"/>
    <col min="15369" max="15369" width="23.5546875" style="6" bestFit="1" customWidth="1"/>
    <col min="15370" max="15370" width="20.21875" style="6" bestFit="1" customWidth="1"/>
    <col min="15371" max="15371" width="17.21875" style="6" bestFit="1" customWidth="1"/>
    <col min="15372" max="15372" width="28.21875" style="6" bestFit="1" customWidth="1"/>
    <col min="15373" max="15373" width="25.21875" style="6" bestFit="1" customWidth="1"/>
    <col min="15374" max="15374" width="18.21875" style="6" bestFit="1" customWidth="1"/>
    <col min="15375" max="15375" width="33.77734375" style="6" bestFit="1" customWidth="1"/>
    <col min="15376" max="15376" width="33.21875" style="6" bestFit="1" customWidth="1"/>
    <col min="15377" max="15377" width="33" style="6" bestFit="1" customWidth="1"/>
    <col min="15378" max="15613" width="17.21875" style="6"/>
    <col min="15614" max="15614" width="3.77734375" style="6" customWidth="1"/>
    <col min="15615" max="15615" width="9.77734375" style="6" bestFit="1" customWidth="1"/>
    <col min="15616" max="15616" width="23.21875" style="6" bestFit="1" customWidth="1"/>
    <col min="15617" max="15617" width="12.21875" style="6" bestFit="1" customWidth="1"/>
    <col min="15618" max="15618" width="11.77734375" style="6" bestFit="1" customWidth="1"/>
    <col min="15619" max="15619" width="53.5546875" style="6" bestFit="1" customWidth="1"/>
    <col min="15620" max="15620" width="33.21875" style="6" bestFit="1" customWidth="1"/>
    <col min="15621" max="15621" width="13" style="6" bestFit="1" customWidth="1"/>
    <col min="15622" max="15622" width="29.21875" style="6" bestFit="1" customWidth="1"/>
    <col min="15623" max="15623" width="24.21875" style="6" bestFit="1" customWidth="1"/>
    <col min="15624" max="15624" width="26.21875" style="6" bestFit="1" customWidth="1"/>
    <col min="15625" max="15625" width="23.5546875" style="6" bestFit="1" customWidth="1"/>
    <col min="15626" max="15626" width="20.21875" style="6" bestFit="1" customWidth="1"/>
    <col min="15627" max="15627" width="17.21875" style="6" bestFit="1" customWidth="1"/>
    <col min="15628" max="15628" width="28.21875" style="6" bestFit="1" customWidth="1"/>
    <col min="15629" max="15629" width="25.21875" style="6" bestFit="1" customWidth="1"/>
    <col min="15630" max="15630" width="18.21875" style="6" bestFit="1" customWidth="1"/>
    <col min="15631" max="15631" width="33.77734375" style="6" bestFit="1" customWidth="1"/>
    <col min="15632" max="15632" width="33.21875" style="6" bestFit="1" customWidth="1"/>
    <col min="15633" max="15633" width="33" style="6" bestFit="1" customWidth="1"/>
    <col min="15634" max="15869" width="17.21875" style="6"/>
    <col min="15870" max="15870" width="3.77734375" style="6" customWidth="1"/>
    <col min="15871" max="15871" width="9.77734375" style="6" bestFit="1" customWidth="1"/>
    <col min="15872" max="15872" width="23.21875" style="6" bestFit="1" customWidth="1"/>
    <col min="15873" max="15873" width="12.21875" style="6" bestFit="1" customWidth="1"/>
    <col min="15874" max="15874" width="11.77734375" style="6" bestFit="1" customWidth="1"/>
    <col min="15875" max="15875" width="53.5546875" style="6" bestFit="1" customWidth="1"/>
    <col min="15876" max="15876" width="33.21875" style="6" bestFit="1" customWidth="1"/>
    <col min="15877" max="15877" width="13" style="6" bestFit="1" customWidth="1"/>
    <col min="15878" max="15878" width="29.21875" style="6" bestFit="1" customWidth="1"/>
    <col min="15879" max="15879" width="24.21875" style="6" bestFit="1" customWidth="1"/>
    <col min="15880" max="15880" width="26.21875" style="6" bestFit="1" customWidth="1"/>
    <col min="15881" max="15881" width="23.5546875" style="6" bestFit="1" customWidth="1"/>
    <col min="15882" max="15882" width="20.21875" style="6" bestFit="1" customWidth="1"/>
    <col min="15883" max="15883" width="17.21875" style="6" bestFit="1" customWidth="1"/>
    <col min="15884" max="15884" width="28.21875" style="6" bestFit="1" customWidth="1"/>
    <col min="15885" max="15885" width="25.21875" style="6" bestFit="1" customWidth="1"/>
    <col min="15886" max="15886" width="18.21875" style="6" bestFit="1" customWidth="1"/>
    <col min="15887" max="15887" width="33.77734375" style="6" bestFit="1" customWidth="1"/>
    <col min="15888" max="15888" width="33.21875" style="6" bestFit="1" customWidth="1"/>
    <col min="15889" max="15889" width="33" style="6" bestFit="1" customWidth="1"/>
    <col min="15890" max="16125" width="17.21875" style="6"/>
    <col min="16126" max="16126" width="3.77734375" style="6" customWidth="1"/>
    <col min="16127" max="16127" width="9.77734375" style="6" bestFit="1" customWidth="1"/>
    <col min="16128" max="16128" width="23.21875" style="6" bestFit="1" customWidth="1"/>
    <col min="16129" max="16129" width="12.21875" style="6" bestFit="1" customWidth="1"/>
    <col min="16130" max="16130" width="11.77734375" style="6" bestFit="1" customWidth="1"/>
    <col min="16131" max="16131" width="53.5546875" style="6" bestFit="1" customWidth="1"/>
    <col min="16132" max="16132" width="33.21875" style="6" bestFit="1" customWidth="1"/>
    <col min="16133" max="16133" width="13" style="6" bestFit="1" customWidth="1"/>
    <col min="16134" max="16134" width="29.21875" style="6" bestFit="1" customWidth="1"/>
    <col min="16135" max="16135" width="24.21875" style="6" bestFit="1" customWidth="1"/>
    <col min="16136" max="16136" width="26.21875" style="6" bestFit="1" customWidth="1"/>
    <col min="16137" max="16137" width="23.5546875" style="6" bestFit="1" customWidth="1"/>
    <col min="16138" max="16138" width="20.21875" style="6" bestFit="1" customWidth="1"/>
    <col min="16139" max="16139" width="17.21875" style="6" bestFit="1" customWidth="1"/>
    <col min="16140" max="16140" width="28.21875" style="6" bestFit="1" customWidth="1"/>
    <col min="16141" max="16141" width="25.21875" style="6" bestFit="1" customWidth="1"/>
    <col min="16142" max="16142" width="18.21875" style="6" bestFit="1" customWidth="1"/>
    <col min="16143" max="16143" width="33.77734375" style="6" bestFit="1" customWidth="1"/>
    <col min="16144" max="16144" width="33.21875" style="6" bestFit="1" customWidth="1"/>
    <col min="16145" max="16145" width="33" style="6" bestFit="1" customWidth="1"/>
    <col min="16146" max="16384" width="17.21875" style="6"/>
  </cols>
  <sheetData>
    <row r="8" spans="2:17" x14ac:dyDescent="0.25">
      <c r="B8" s="7"/>
    </row>
    <row r="10" spans="2:17" x14ac:dyDescent="0.25">
      <c r="B10" s="66" t="s">
        <v>124</v>
      </c>
      <c r="C10" s="66" t="s">
        <v>116</v>
      </c>
      <c r="D10" s="66" t="s">
        <v>125</v>
      </c>
      <c r="E10" s="66" t="s">
        <v>126</v>
      </c>
      <c r="F10" s="66" t="s">
        <v>127</v>
      </c>
      <c r="G10" s="66" t="s">
        <v>128</v>
      </c>
      <c r="H10" s="66" t="s">
        <v>129</v>
      </c>
      <c r="I10" s="66" t="s">
        <v>225</v>
      </c>
      <c r="J10" s="66" t="s">
        <v>226</v>
      </c>
      <c r="K10" s="66" t="s">
        <v>227</v>
      </c>
      <c r="L10" s="66" t="s">
        <v>130</v>
      </c>
      <c r="M10" s="66" t="s">
        <v>131</v>
      </c>
      <c r="N10" s="66" t="s">
        <v>132</v>
      </c>
      <c r="O10" s="66" t="s">
        <v>133</v>
      </c>
      <c r="P10" s="67" t="s">
        <v>234</v>
      </c>
      <c r="Q10" s="67" t="s">
        <v>234</v>
      </c>
    </row>
    <row r="11" spans="2:17" x14ac:dyDescent="0.25">
      <c r="B11" s="54" t="s">
        <v>271</v>
      </c>
      <c r="C11" s="54" t="s">
        <v>252</v>
      </c>
      <c r="D11" s="54" t="s">
        <v>137</v>
      </c>
      <c r="E11" s="54" t="s">
        <v>207</v>
      </c>
      <c r="F11" s="54" t="s">
        <v>241</v>
      </c>
      <c r="G11" s="54" t="s">
        <v>135</v>
      </c>
      <c r="H11" s="54" t="s">
        <v>136</v>
      </c>
      <c r="I11" s="54" t="s">
        <v>287</v>
      </c>
      <c r="J11" s="68">
        <v>45726</v>
      </c>
      <c r="K11" s="68">
        <v>47208</v>
      </c>
      <c r="L11" s="54">
        <v>5.8</v>
      </c>
      <c r="M11" s="54" t="s">
        <v>306</v>
      </c>
      <c r="N11" s="54">
        <v>48</v>
      </c>
      <c r="O11" s="54">
        <v>70000</v>
      </c>
      <c r="P11" s="69">
        <v>649.97</v>
      </c>
      <c r="Q11" s="69">
        <v>649.97</v>
      </c>
    </row>
    <row r="12" spans="2:17" x14ac:dyDescent="0.25">
      <c r="B12" s="54" t="s">
        <v>237</v>
      </c>
      <c r="C12" s="54" t="s">
        <v>252</v>
      </c>
      <c r="D12" s="54" t="s">
        <v>137</v>
      </c>
      <c r="E12" s="54" t="s">
        <v>121</v>
      </c>
      <c r="F12" s="54" t="s">
        <v>197</v>
      </c>
      <c r="G12" s="54" t="s">
        <v>231</v>
      </c>
      <c r="H12" s="54" t="s">
        <v>148</v>
      </c>
      <c r="I12" s="54" t="s">
        <v>201</v>
      </c>
      <c r="J12" s="68">
        <v>45323</v>
      </c>
      <c r="K12" s="68">
        <v>46812</v>
      </c>
      <c r="L12" s="54">
        <v>4.2</v>
      </c>
      <c r="M12" s="54" t="s">
        <v>307</v>
      </c>
      <c r="N12" s="54">
        <v>48</v>
      </c>
      <c r="O12" s="54">
        <v>100000</v>
      </c>
      <c r="P12" s="69">
        <v>701.32</v>
      </c>
      <c r="Q12" s="69">
        <v>701.32</v>
      </c>
    </row>
    <row r="13" spans="2:17" x14ac:dyDescent="0.25">
      <c r="B13" s="54" t="s">
        <v>238</v>
      </c>
      <c r="C13" s="54" t="s">
        <v>252</v>
      </c>
      <c r="D13" s="54" t="s">
        <v>137</v>
      </c>
      <c r="E13" s="54" t="s">
        <v>121</v>
      </c>
      <c r="F13" s="54" t="s">
        <v>197</v>
      </c>
      <c r="G13" s="54" t="s">
        <v>140</v>
      </c>
      <c r="H13" s="54" t="s">
        <v>148</v>
      </c>
      <c r="I13" s="54" t="s">
        <v>149</v>
      </c>
      <c r="J13" s="68">
        <v>45320</v>
      </c>
      <c r="K13" s="68">
        <v>46783</v>
      </c>
      <c r="L13" s="54">
        <v>4.2</v>
      </c>
      <c r="M13" s="54" t="s">
        <v>307</v>
      </c>
      <c r="N13" s="54">
        <v>48</v>
      </c>
      <c r="O13" s="54">
        <v>100000</v>
      </c>
      <c r="P13" s="69">
        <v>702.91</v>
      </c>
      <c r="Q13" s="69">
        <v>702.91</v>
      </c>
    </row>
    <row r="14" spans="2:17" x14ac:dyDescent="0.25">
      <c r="B14" s="54" t="s">
        <v>213</v>
      </c>
      <c r="C14" s="54" t="s">
        <v>252</v>
      </c>
      <c r="D14" s="54" t="s">
        <v>137</v>
      </c>
      <c r="E14" s="54" t="s">
        <v>121</v>
      </c>
      <c r="F14" s="54" t="s">
        <v>197</v>
      </c>
      <c r="G14" s="54" t="s">
        <v>200</v>
      </c>
      <c r="H14" s="54" t="s">
        <v>148</v>
      </c>
      <c r="I14" s="54" t="s">
        <v>164</v>
      </c>
      <c r="J14" s="68">
        <v>45040</v>
      </c>
      <c r="K14" s="68">
        <v>46507</v>
      </c>
      <c r="L14" s="54">
        <v>4.2</v>
      </c>
      <c r="M14" s="54" t="s">
        <v>307</v>
      </c>
      <c r="N14" s="54">
        <v>48</v>
      </c>
      <c r="O14" s="54">
        <v>100000</v>
      </c>
      <c r="P14" s="69">
        <v>717.08</v>
      </c>
      <c r="Q14" s="69">
        <v>717.08</v>
      </c>
    </row>
    <row r="15" spans="2:17" x14ac:dyDescent="0.25">
      <c r="B15" s="54" t="s">
        <v>330</v>
      </c>
      <c r="C15" s="54" t="s">
        <v>252</v>
      </c>
      <c r="D15" s="54" t="s">
        <v>137</v>
      </c>
      <c r="E15" s="54" t="s">
        <v>207</v>
      </c>
      <c r="F15" s="54" t="s">
        <v>311</v>
      </c>
      <c r="G15" s="54" t="s">
        <v>154</v>
      </c>
      <c r="H15" s="54" t="s">
        <v>143</v>
      </c>
      <c r="I15" s="54" t="s">
        <v>155</v>
      </c>
      <c r="J15" s="68">
        <v>46094</v>
      </c>
      <c r="K15" s="68">
        <v>47573</v>
      </c>
      <c r="L15" s="54">
        <v>5.6</v>
      </c>
      <c r="M15" s="54" t="s">
        <v>306</v>
      </c>
      <c r="N15" s="54">
        <v>48</v>
      </c>
      <c r="O15" s="54">
        <v>40000</v>
      </c>
      <c r="P15" s="69">
        <v>663.35</v>
      </c>
      <c r="Q15" s="69">
        <v>710.64</v>
      </c>
    </row>
    <row r="16" spans="2:17" x14ac:dyDescent="0.25">
      <c r="B16" s="54" t="s">
        <v>262</v>
      </c>
      <c r="C16" s="54" t="s">
        <v>252</v>
      </c>
      <c r="D16" s="54" t="s">
        <v>137</v>
      </c>
      <c r="E16" s="54" t="s">
        <v>121</v>
      </c>
      <c r="F16" s="54" t="s">
        <v>151</v>
      </c>
      <c r="G16" s="54" t="s">
        <v>173</v>
      </c>
      <c r="H16" s="54" t="s">
        <v>136</v>
      </c>
      <c r="I16" s="54" t="s">
        <v>321</v>
      </c>
      <c r="J16" s="68">
        <v>45595</v>
      </c>
      <c r="K16" s="68">
        <v>47057</v>
      </c>
      <c r="L16" s="54">
        <v>4.2</v>
      </c>
      <c r="M16" s="54" t="s">
        <v>307</v>
      </c>
      <c r="N16" s="54">
        <v>48</v>
      </c>
      <c r="O16" s="54">
        <v>80000</v>
      </c>
      <c r="P16" s="69">
        <v>710.64</v>
      </c>
      <c r="Q16" s="69">
        <v>629.5</v>
      </c>
    </row>
    <row r="17" spans="2:17" x14ac:dyDescent="0.25">
      <c r="B17" s="54" t="s">
        <v>246</v>
      </c>
      <c r="C17" s="54" t="s">
        <v>252</v>
      </c>
      <c r="D17" s="54" t="s">
        <v>137</v>
      </c>
      <c r="E17" s="54" t="s">
        <v>207</v>
      </c>
      <c r="F17" s="54" t="s">
        <v>241</v>
      </c>
      <c r="G17" s="54" t="s">
        <v>288</v>
      </c>
      <c r="H17" s="54" t="s">
        <v>136</v>
      </c>
      <c r="I17" s="54" t="s">
        <v>178</v>
      </c>
      <c r="J17" s="68">
        <v>45384</v>
      </c>
      <c r="K17" s="68">
        <v>46873</v>
      </c>
      <c r="L17" s="54">
        <v>5.8</v>
      </c>
      <c r="M17" s="54" t="s">
        <v>306</v>
      </c>
      <c r="N17" s="54">
        <v>48</v>
      </c>
      <c r="O17" s="54">
        <v>100000</v>
      </c>
      <c r="P17" s="69">
        <v>629.5</v>
      </c>
      <c r="Q17" s="69">
        <v>712.11</v>
      </c>
    </row>
    <row r="18" spans="2:17" x14ac:dyDescent="0.25">
      <c r="B18" s="54" t="s">
        <v>268</v>
      </c>
      <c r="C18" s="54" t="s">
        <v>252</v>
      </c>
      <c r="D18" s="54" t="s">
        <v>137</v>
      </c>
      <c r="E18" s="54" t="s">
        <v>121</v>
      </c>
      <c r="F18" s="54" t="s">
        <v>269</v>
      </c>
      <c r="G18" s="54" t="s">
        <v>147</v>
      </c>
      <c r="H18" s="54" t="s">
        <v>148</v>
      </c>
      <c r="I18" s="54" t="s">
        <v>289</v>
      </c>
      <c r="J18" s="68">
        <v>45699</v>
      </c>
      <c r="K18" s="68">
        <v>47177</v>
      </c>
      <c r="L18" s="54">
        <v>5</v>
      </c>
      <c r="M18" s="54" t="s">
        <v>307</v>
      </c>
      <c r="N18" s="54">
        <v>48</v>
      </c>
      <c r="O18" s="54">
        <v>80000</v>
      </c>
      <c r="P18" s="69">
        <v>712.11</v>
      </c>
      <c r="Q18" s="69">
        <v>718.4</v>
      </c>
    </row>
    <row r="19" spans="2:17" x14ac:dyDescent="0.25">
      <c r="B19" s="54" t="s">
        <v>216</v>
      </c>
      <c r="C19" s="54" t="s">
        <v>252</v>
      </c>
      <c r="D19" s="54" t="s">
        <v>137</v>
      </c>
      <c r="E19" s="54" t="s">
        <v>121</v>
      </c>
      <c r="F19" s="54" t="s">
        <v>197</v>
      </c>
      <c r="G19" s="54" t="s">
        <v>290</v>
      </c>
      <c r="H19" s="54" t="s">
        <v>148</v>
      </c>
      <c r="I19" s="54" t="s">
        <v>174</v>
      </c>
      <c r="J19" s="68">
        <v>45070</v>
      </c>
      <c r="K19" s="68">
        <v>46538</v>
      </c>
      <c r="L19" s="54">
        <v>4.2</v>
      </c>
      <c r="M19" s="54" t="s">
        <v>307</v>
      </c>
      <c r="N19" s="54">
        <v>48</v>
      </c>
      <c r="O19" s="54">
        <v>100000</v>
      </c>
      <c r="P19" s="69">
        <v>718.4</v>
      </c>
      <c r="Q19" s="69">
        <v>629.5</v>
      </c>
    </row>
    <row r="20" spans="2:17" x14ac:dyDescent="0.25">
      <c r="B20" s="54" t="s">
        <v>240</v>
      </c>
      <c r="C20" s="54" t="s">
        <v>252</v>
      </c>
      <c r="D20" s="54" t="s">
        <v>137</v>
      </c>
      <c r="E20" s="54" t="s">
        <v>207</v>
      </c>
      <c r="F20" s="54" t="s">
        <v>241</v>
      </c>
      <c r="G20" s="54" t="s">
        <v>291</v>
      </c>
      <c r="H20" s="54" t="s">
        <v>143</v>
      </c>
      <c r="I20" s="54" t="s">
        <v>144</v>
      </c>
      <c r="J20" s="68">
        <v>45350</v>
      </c>
      <c r="K20" s="68">
        <v>46812</v>
      </c>
      <c r="L20" s="54">
        <v>5.8</v>
      </c>
      <c r="M20" s="54" t="s">
        <v>306</v>
      </c>
      <c r="N20" s="54">
        <v>48</v>
      </c>
      <c r="O20" s="54">
        <v>100000</v>
      </c>
      <c r="P20" s="69">
        <v>629.5</v>
      </c>
      <c r="Q20" s="69">
        <v>644.23</v>
      </c>
    </row>
    <row r="21" spans="2:17" x14ac:dyDescent="0.25">
      <c r="B21" s="54" t="s">
        <v>310</v>
      </c>
      <c r="C21" s="54" t="s">
        <v>252</v>
      </c>
      <c r="D21" s="54" t="s">
        <v>137</v>
      </c>
      <c r="E21" s="54" t="s">
        <v>207</v>
      </c>
      <c r="F21" s="54" t="s">
        <v>311</v>
      </c>
      <c r="G21" s="54" t="s">
        <v>331</v>
      </c>
      <c r="H21" s="54" t="s">
        <v>143</v>
      </c>
      <c r="I21" s="54" t="s">
        <v>166</v>
      </c>
      <c r="J21" s="68">
        <v>45978</v>
      </c>
      <c r="K21" s="68">
        <v>47452</v>
      </c>
      <c r="L21" s="54">
        <v>5.8</v>
      </c>
      <c r="M21" s="54" t="s">
        <v>306</v>
      </c>
      <c r="N21" s="54">
        <v>48</v>
      </c>
      <c r="O21" s="54">
        <v>80000</v>
      </c>
      <c r="P21" s="69">
        <v>644.23</v>
      </c>
      <c r="Q21" s="69">
        <v>649.78</v>
      </c>
    </row>
    <row r="22" spans="2:17" x14ac:dyDescent="0.25">
      <c r="B22" s="54" t="s">
        <v>312</v>
      </c>
      <c r="C22" s="54" t="s">
        <v>252</v>
      </c>
      <c r="D22" s="54" t="s">
        <v>137</v>
      </c>
      <c r="E22" s="54" t="s">
        <v>207</v>
      </c>
      <c r="F22" s="54" t="s">
        <v>311</v>
      </c>
      <c r="G22" s="54" t="s">
        <v>163</v>
      </c>
      <c r="H22" s="54" t="s">
        <v>136</v>
      </c>
      <c r="I22" s="54" t="s">
        <v>164</v>
      </c>
      <c r="J22" s="68">
        <v>45952</v>
      </c>
      <c r="K22" s="68">
        <v>47422</v>
      </c>
      <c r="L22" s="54">
        <v>5.8</v>
      </c>
      <c r="M22" s="54" t="s">
        <v>306</v>
      </c>
      <c r="N22" s="54">
        <v>48</v>
      </c>
      <c r="O22" s="54">
        <v>100000</v>
      </c>
      <c r="P22" s="69">
        <v>649.78</v>
      </c>
      <c r="Q22" s="69">
        <v>731.71</v>
      </c>
    </row>
    <row r="23" spans="2:17" x14ac:dyDescent="0.25">
      <c r="B23" s="54" t="s">
        <v>266</v>
      </c>
      <c r="C23" s="54" t="s">
        <v>252</v>
      </c>
      <c r="D23" s="54" t="s">
        <v>137</v>
      </c>
      <c r="E23" s="54" t="s">
        <v>207</v>
      </c>
      <c r="F23" s="54" t="s">
        <v>241</v>
      </c>
      <c r="G23" s="54" t="s">
        <v>188</v>
      </c>
      <c r="H23" s="54" t="s">
        <v>136</v>
      </c>
      <c r="I23" s="54" t="s">
        <v>189</v>
      </c>
      <c r="J23" s="68">
        <v>45631</v>
      </c>
      <c r="K23" s="68">
        <v>47118</v>
      </c>
      <c r="L23" s="54">
        <v>5.8</v>
      </c>
      <c r="M23" s="54" t="s">
        <v>306</v>
      </c>
      <c r="N23" s="54">
        <v>48</v>
      </c>
      <c r="O23" s="54">
        <v>120000</v>
      </c>
      <c r="P23" s="69">
        <v>731.71</v>
      </c>
      <c r="Q23" s="69">
        <v>576.84</v>
      </c>
    </row>
    <row r="24" spans="2:17" x14ac:dyDescent="0.25">
      <c r="B24" s="54" t="s">
        <v>217</v>
      </c>
      <c r="C24" s="54" t="s">
        <v>252</v>
      </c>
      <c r="D24" s="54" t="s">
        <v>137</v>
      </c>
      <c r="E24" s="54" t="s">
        <v>207</v>
      </c>
      <c r="F24" s="54" t="s">
        <v>156</v>
      </c>
      <c r="G24" s="54" t="s">
        <v>138</v>
      </c>
      <c r="H24" s="54" t="s">
        <v>143</v>
      </c>
      <c r="I24" s="54" t="s">
        <v>139</v>
      </c>
      <c r="J24" s="68">
        <v>45092</v>
      </c>
      <c r="K24" s="68">
        <v>46568</v>
      </c>
      <c r="L24" s="54">
        <v>4.8</v>
      </c>
      <c r="M24" s="54" t="s">
        <v>119</v>
      </c>
      <c r="N24" s="54">
        <v>48</v>
      </c>
      <c r="O24" s="54">
        <v>100000</v>
      </c>
      <c r="P24" s="69">
        <v>576.84</v>
      </c>
      <c r="Q24" s="69">
        <v>511.4</v>
      </c>
    </row>
    <row r="25" spans="2:17" x14ac:dyDescent="0.25">
      <c r="B25" s="54" t="s">
        <v>161</v>
      </c>
      <c r="C25" s="54" t="s">
        <v>252</v>
      </c>
      <c r="D25" s="54" t="s">
        <v>137</v>
      </c>
      <c r="E25" s="54" t="s">
        <v>120</v>
      </c>
      <c r="F25" s="54" t="s">
        <v>168</v>
      </c>
      <c r="G25" s="54" t="s">
        <v>154</v>
      </c>
      <c r="H25" s="54" t="s">
        <v>143</v>
      </c>
      <c r="I25" s="54" t="s">
        <v>155</v>
      </c>
      <c r="J25" s="68">
        <v>44571</v>
      </c>
      <c r="K25" s="68">
        <v>46053</v>
      </c>
      <c r="L25" s="54">
        <v>4.3</v>
      </c>
      <c r="M25" s="54" t="s">
        <v>119</v>
      </c>
      <c r="N25" s="54">
        <v>48</v>
      </c>
      <c r="O25" s="54">
        <v>100000</v>
      </c>
      <c r="P25" s="69">
        <v>511.4</v>
      </c>
      <c r="Q25" s="69">
        <v>717.08</v>
      </c>
    </row>
    <row r="26" spans="2:17" x14ac:dyDescent="0.25">
      <c r="B26" s="54" t="s">
        <v>205</v>
      </c>
      <c r="C26" s="54" t="s">
        <v>252</v>
      </c>
      <c r="D26" s="54" t="s">
        <v>137</v>
      </c>
      <c r="E26" s="54" t="s">
        <v>121</v>
      </c>
      <c r="F26" s="54" t="s">
        <v>151</v>
      </c>
      <c r="G26" s="54" t="s">
        <v>145</v>
      </c>
      <c r="H26" s="54" t="s">
        <v>148</v>
      </c>
      <c r="I26" s="54" t="s">
        <v>186</v>
      </c>
      <c r="J26" s="68">
        <v>45030</v>
      </c>
      <c r="K26" s="68">
        <v>46507</v>
      </c>
      <c r="L26" s="54">
        <v>5.0999999999999996</v>
      </c>
      <c r="M26" s="54" t="s">
        <v>307</v>
      </c>
      <c r="N26" s="54">
        <v>48</v>
      </c>
      <c r="O26" s="54">
        <v>100000</v>
      </c>
      <c r="P26" s="69">
        <v>717.08</v>
      </c>
      <c r="Q26" s="69">
        <v>570.25</v>
      </c>
    </row>
    <row r="27" spans="2:17" x14ac:dyDescent="0.25">
      <c r="B27" s="54" t="s">
        <v>167</v>
      </c>
      <c r="C27" s="54" t="s">
        <v>252</v>
      </c>
      <c r="D27" s="54" t="s">
        <v>137</v>
      </c>
      <c r="E27" s="54" t="s">
        <v>120</v>
      </c>
      <c r="F27" s="54" t="s">
        <v>168</v>
      </c>
      <c r="G27" s="54" t="s">
        <v>157</v>
      </c>
      <c r="H27" s="54" t="s">
        <v>143</v>
      </c>
      <c r="I27" s="54" t="s">
        <v>158</v>
      </c>
      <c r="J27" s="68">
        <v>44687</v>
      </c>
      <c r="K27" s="68">
        <v>46173</v>
      </c>
      <c r="L27" s="54">
        <v>5.0999999999999996</v>
      </c>
      <c r="M27" s="54" t="s">
        <v>119</v>
      </c>
      <c r="N27" s="54">
        <v>48</v>
      </c>
      <c r="O27" s="54">
        <v>100000</v>
      </c>
      <c r="P27" s="69">
        <v>570.25</v>
      </c>
      <c r="Q27" s="69">
        <v>742.59</v>
      </c>
    </row>
    <row r="28" spans="2:17" x14ac:dyDescent="0.25">
      <c r="B28" s="54" t="s">
        <v>257</v>
      </c>
      <c r="C28" s="54" t="s">
        <v>252</v>
      </c>
      <c r="D28" s="54" t="s">
        <v>137</v>
      </c>
      <c r="E28" s="54" t="s">
        <v>121</v>
      </c>
      <c r="F28" s="54" t="s">
        <v>151</v>
      </c>
      <c r="G28" s="54" t="s">
        <v>152</v>
      </c>
      <c r="H28" s="54" t="s">
        <v>148</v>
      </c>
      <c r="I28" s="54" t="s">
        <v>292</v>
      </c>
      <c r="J28" s="68">
        <v>45572</v>
      </c>
      <c r="K28" s="68">
        <v>47057</v>
      </c>
      <c r="L28" s="54">
        <v>4.2</v>
      </c>
      <c r="M28" s="54" t="s">
        <v>307</v>
      </c>
      <c r="N28" s="54">
        <v>48</v>
      </c>
      <c r="O28" s="54">
        <v>100000</v>
      </c>
      <c r="P28" s="69">
        <v>742.59</v>
      </c>
      <c r="Q28" s="69">
        <v>656.7</v>
      </c>
    </row>
    <row r="29" spans="2:17" x14ac:dyDescent="0.25">
      <c r="B29" s="54" t="s">
        <v>170</v>
      </c>
      <c r="C29" s="54" t="s">
        <v>252</v>
      </c>
      <c r="D29" s="54" t="s">
        <v>137</v>
      </c>
      <c r="E29" s="54" t="s">
        <v>121</v>
      </c>
      <c r="F29" s="54" t="s">
        <v>151</v>
      </c>
      <c r="G29" s="54" t="s">
        <v>171</v>
      </c>
      <c r="H29" s="54" t="s">
        <v>136</v>
      </c>
      <c r="I29" s="54" t="s">
        <v>172</v>
      </c>
      <c r="J29" s="68">
        <v>44776</v>
      </c>
      <c r="K29" s="68">
        <v>46265</v>
      </c>
      <c r="L29" s="54">
        <v>5.0999999999999996</v>
      </c>
      <c r="M29" s="54" t="s">
        <v>307</v>
      </c>
      <c r="N29" s="54">
        <v>48</v>
      </c>
      <c r="O29" s="54">
        <v>100000</v>
      </c>
      <c r="P29" s="69">
        <v>656.7</v>
      </c>
      <c r="Q29" s="69">
        <v>723.93</v>
      </c>
    </row>
    <row r="30" spans="2:17" x14ac:dyDescent="0.25">
      <c r="B30" s="54" t="s">
        <v>317</v>
      </c>
      <c r="C30" s="54" t="s">
        <v>252</v>
      </c>
      <c r="D30" s="54" t="s">
        <v>137</v>
      </c>
      <c r="E30" s="54" t="s">
        <v>121</v>
      </c>
      <c r="F30" s="54" t="s">
        <v>151</v>
      </c>
      <c r="G30" s="54" t="s">
        <v>159</v>
      </c>
      <c r="H30" s="54" t="s">
        <v>136</v>
      </c>
      <c r="I30" s="54" t="s">
        <v>318</v>
      </c>
      <c r="J30" s="68">
        <v>46027</v>
      </c>
      <c r="K30" s="68">
        <v>47514</v>
      </c>
      <c r="L30" s="54">
        <v>5.2</v>
      </c>
      <c r="M30" s="54" t="s">
        <v>307</v>
      </c>
      <c r="N30" s="54">
        <v>48</v>
      </c>
      <c r="O30" s="54">
        <v>40000</v>
      </c>
      <c r="P30" s="69">
        <v>723.93</v>
      </c>
      <c r="Q30" s="69">
        <v>585.45000000000005</v>
      </c>
    </row>
    <row r="31" spans="2:17" x14ac:dyDescent="0.25">
      <c r="B31" s="54" t="s">
        <v>214</v>
      </c>
      <c r="C31" s="54" t="s">
        <v>252</v>
      </c>
      <c r="D31" s="54" t="s">
        <v>137</v>
      </c>
      <c r="E31" s="54" t="s">
        <v>207</v>
      </c>
      <c r="F31" s="54" t="s">
        <v>156</v>
      </c>
      <c r="G31" s="54" t="s">
        <v>142</v>
      </c>
      <c r="H31" s="54" t="s">
        <v>143</v>
      </c>
      <c r="I31" s="54" t="s">
        <v>144</v>
      </c>
      <c r="J31" s="68">
        <v>45044</v>
      </c>
      <c r="K31" s="68">
        <v>46507</v>
      </c>
      <c r="L31" s="54">
        <v>4.8</v>
      </c>
      <c r="M31" s="54" t="s">
        <v>119</v>
      </c>
      <c r="N31" s="54">
        <v>48</v>
      </c>
      <c r="O31" s="54">
        <v>100000</v>
      </c>
      <c r="P31" s="69">
        <v>585.45000000000005</v>
      </c>
      <c r="Q31" s="69">
        <v>685.21</v>
      </c>
    </row>
    <row r="32" spans="2:17" x14ac:dyDescent="0.25">
      <c r="B32" s="54" t="s">
        <v>313</v>
      </c>
      <c r="C32" s="54" t="s">
        <v>252</v>
      </c>
      <c r="D32" s="54" t="s">
        <v>137</v>
      </c>
      <c r="E32" s="54" t="s">
        <v>207</v>
      </c>
      <c r="F32" s="54" t="s">
        <v>241</v>
      </c>
      <c r="G32" s="54" t="s">
        <v>296</v>
      </c>
      <c r="H32" s="54" t="s">
        <v>136</v>
      </c>
      <c r="I32" s="54" t="s">
        <v>160</v>
      </c>
      <c r="J32" s="68">
        <v>45964</v>
      </c>
      <c r="K32" s="68">
        <v>47452</v>
      </c>
      <c r="L32" s="54">
        <v>5.8</v>
      </c>
      <c r="M32" s="54" t="s">
        <v>306</v>
      </c>
      <c r="N32" s="54">
        <v>48</v>
      </c>
      <c r="O32" s="54">
        <v>120000</v>
      </c>
      <c r="P32" s="69">
        <v>685.21</v>
      </c>
      <c r="Q32" s="69">
        <v>852.68</v>
      </c>
    </row>
    <row r="33" spans="2:17" x14ac:dyDescent="0.25">
      <c r="B33" s="54" t="s">
        <v>218</v>
      </c>
      <c r="C33" s="54" t="s">
        <v>252</v>
      </c>
      <c r="D33" s="54" t="s">
        <v>137</v>
      </c>
      <c r="E33" s="54" t="s">
        <v>219</v>
      </c>
      <c r="F33" s="54" t="s">
        <v>220</v>
      </c>
      <c r="G33" s="54" t="s">
        <v>184</v>
      </c>
      <c r="H33" s="54" t="s">
        <v>185</v>
      </c>
      <c r="I33" s="54" t="s">
        <v>186</v>
      </c>
      <c r="J33" s="68">
        <v>45079</v>
      </c>
      <c r="K33" s="68">
        <v>46568</v>
      </c>
      <c r="L33" s="54">
        <v>4.8</v>
      </c>
      <c r="M33" s="54" t="s">
        <v>307</v>
      </c>
      <c r="N33" s="54">
        <v>48</v>
      </c>
      <c r="O33" s="54">
        <v>100000</v>
      </c>
      <c r="P33" s="69">
        <v>852.68</v>
      </c>
      <c r="Q33" s="69">
        <v>599.17999999999995</v>
      </c>
    </row>
    <row r="34" spans="2:17" x14ac:dyDescent="0.25">
      <c r="B34" s="54" t="s">
        <v>249</v>
      </c>
      <c r="C34" s="54" t="s">
        <v>252</v>
      </c>
      <c r="D34" s="54" t="s">
        <v>137</v>
      </c>
      <c r="E34" s="54" t="s">
        <v>207</v>
      </c>
      <c r="F34" s="54" t="s">
        <v>241</v>
      </c>
      <c r="G34" s="54" t="s">
        <v>183</v>
      </c>
      <c r="H34" s="54" t="s">
        <v>143</v>
      </c>
      <c r="I34" s="54" t="s">
        <v>155</v>
      </c>
      <c r="J34" s="68">
        <v>45394</v>
      </c>
      <c r="K34" s="68">
        <v>46873</v>
      </c>
      <c r="L34" s="54">
        <v>5.8</v>
      </c>
      <c r="M34" s="54" t="s">
        <v>306</v>
      </c>
      <c r="N34" s="54">
        <v>48</v>
      </c>
      <c r="O34" s="54">
        <v>60000</v>
      </c>
      <c r="P34" s="69">
        <v>599.17999999999995</v>
      </c>
      <c r="Q34" s="69">
        <v>599.17999999999995</v>
      </c>
    </row>
    <row r="35" spans="2:17" x14ac:dyDescent="0.25">
      <c r="B35" s="54" t="s">
        <v>263</v>
      </c>
      <c r="C35" s="54" t="s">
        <v>252</v>
      </c>
      <c r="D35" s="54" t="s">
        <v>137</v>
      </c>
      <c r="E35" s="54" t="s">
        <v>207</v>
      </c>
      <c r="F35" s="54" t="s">
        <v>241</v>
      </c>
      <c r="G35" s="54" t="s">
        <v>150</v>
      </c>
      <c r="H35" s="54" t="s">
        <v>143</v>
      </c>
      <c r="I35" s="54" t="s">
        <v>144</v>
      </c>
      <c r="J35" s="68">
        <v>45587</v>
      </c>
      <c r="K35" s="68">
        <v>47057</v>
      </c>
      <c r="L35" s="54">
        <v>5.8</v>
      </c>
      <c r="M35" s="54" t="s">
        <v>306</v>
      </c>
      <c r="N35" s="54">
        <v>48</v>
      </c>
      <c r="O35" s="54">
        <v>60000</v>
      </c>
      <c r="P35" s="69">
        <v>599.17999999999995</v>
      </c>
      <c r="Q35" s="69">
        <v>582.33000000000004</v>
      </c>
    </row>
    <row r="36" spans="2:17" x14ac:dyDescent="0.25">
      <c r="B36" s="54" t="s">
        <v>258</v>
      </c>
      <c r="C36" s="54" t="s">
        <v>252</v>
      </c>
      <c r="D36" s="54" t="s">
        <v>137</v>
      </c>
      <c r="E36" s="54" t="s">
        <v>207</v>
      </c>
      <c r="F36" s="54" t="s">
        <v>241</v>
      </c>
      <c r="G36" s="54" t="s">
        <v>179</v>
      </c>
      <c r="H36" s="54" t="s">
        <v>136</v>
      </c>
      <c r="I36" s="54" t="s">
        <v>180</v>
      </c>
      <c r="J36" s="68">
        <v>45580</v>
      </c>
      <c r="K36" s="68">
        <v>47057</v>
      </c>
      <c r="L36" s="54">
        <v>5.8</v>
      </c>
      <c r="M36" s="54" t="s">
        <v>306</v>
      </c>
      <c r="N36" s="54">
        <v>48</v>
      </c>
      <c r="O36" s="54">
        <v>40000</v>
      </c>
      <c r="P36" s="69">
        <v>582.33000000000004</v>
      </c>
      <c r="Q36" s="69">
        <v>582.33000000000004</v>
      </c>
    </row>
    <row r="37" spans="2:17" x14ac:dyDescent="0.25">
      <c r="B37" s="54" t="s">
        <v>259</v>
      </c>
      <c r="C37" s="54" t="s">
        <v>252</v>
      </c>
      <c r="D37" s="54" t="s">
        <v>137</v>
      </c>
      <c r="E37" s="54" t="s">
        <v>207</v>
      </c>
      <c r="F37" s="54" t="s">
        <v>241</v>
      </c>
      <c r="G37" s="54" t="s">
        <v>194</v>
      </c>
      <c r="H37" s="54" t="s">
        <v>136</v>
      </c>
      <c r="I37" s="54" t="s">
        <v>322</v>
      </c>
      <c r="J37" s="68">
        <v>45581</v>
      </c>
      <c r="K37" s="68">
        <v>47057</v>
      </c>
      <c r="L37" s="54">
        <v>5.8</v>
      </c>
      <c r="M37" s="54" t="s">
        <v>306</v>
      </c>
      <c r="N37" s="54">
        <v>48</v>
      </c>
      <c r="O37" s="54">
        <v>40000</v>
      </c>
      <c r="P37" s="69">
        <v>582.33000000000004</v>
      </c>
      <c r="Q37" s="69">
        <v>576.84</v>
      </c>
    </row>
    <row r="38" spans="2:17" x14ac:dyDescent="0.25">
      <c r="B38" s="54" t="s">
        <v>206</v>
      </c>
      <c r="C38" s="54" t="s">
        <v>252</v>
      </c>
      <c r="D38" s="54" t="s">
        <v>137</v>
      </c>
      <c r="E38" s="54" t="s">
        <v>207</v>
      </c>
      <c r="F38" s="54" t="s">
        <v>156</v>
      </c>
      <c r="G38" s="54" t="s">
        <v>165</v>
      </c>
      <c r="H38" s="54" t="s">
        <v>143</v>
      </c>
      <c r="I38" s="54" t="s">
        <v>166</v>
      </c>
      <c r="J38" s="68">
        <v>45030</v>
      </c>
      <c r="K38" s="68">
        <v>46507</v>
      </c>
      <c r="L38" s="54">
        <v>4.8</v>
      </c>
      <c r="M38" s="54" t="s">
        <v>119</v>
      </c>
      <c r="N38" s="54">
        <v>48</v>
      </c>
      <c r="O38" s="54">
        <v>100000</v>
      </c>
      <c r="P38" s="69">
        <v>576.84</v>
      </c>
      <c r="Q38" s="69">
        <v>576.84</v>
      </c>
    </row>
    <row r="39" spans="2:17" x14ac:dyDescent="0.25">
      <c r="B39" s="54" t="s">
        <v>208</v>
      </c>
      <c r="C39" s="54" t="s">
        <v>252</v>
      </c>
      <c r="D39" s="54" t="s">
        <v>137</v>
      </c>
      <c r="E39" s="54" t="s">
        <v>207</v>
      </c>
      <c r="F39" s="54" t="s">
        <v>156</v>
      </c>
      <c r="G39" s="54" t="s">
        <v>162</v>
      </c>
      <c r="H39" s="54" t="s">
        <v>143</v>
      </c>
      <c r="I39" s="54" t="s">
        <v>144</v>
      </c>
      <c r="J39" s="68">
        <v>45030</v>
      </c>
      <c r="K39" s="68">
        <v>46507</v>
      </c>
      <c r="L39" s="54">
        <v>4.8</v>
      </c>
      <c r="M39" s="54" t="s">
        <v>119</v>
      </c>
      <c r="N39" s="54">
        <v>48</v>
      </c>
      <c r="O39" s="54">
        <v>100000</v>
      </c>
      <c r="P39" s="69">
        <v>576.84</v>
      </c>
      <c r="Q39" s="69">
        <v>576.84</v>
      </c>
    </row>
    <row r="40" spans="2:17" x14ac:dyDescent="0.25">
      <c r="B40" s="54" t="s">
        <v>209</v>
      </c>
      <c r="C40" s="54" t="s">
        <v>252</v>
      </c>
      <c r="D40" s="54" t="s">
        <v>137</v>
      </c>
      <c r="E40" s="54" t="s">
        <v>207</v>
      </c>
      <c r="F40" s="54" t="s">
        <v>156</v>
      </c>
      <c r="G40" s="54" t="s">
        <v>169</v>
      </c>
      <c r="H40" s="54" t="s">
        <v>143</v>
      </c>
      <c r="I40" s="54" t="s">
        <v>293</v>
      </c>
      <c r="J40" s="68">
        <v>45030</v>
      </c>
      <c r="K40" s="68">
        <v>46507</v>
      </c>
      <c r="L40" s="54">
        <v>4.8</v>
      </c>
      <c r="M40" s="54" t="s">
        <v>119</v>
      </c>
      <c r="N40" s="54">
        <v>48</v>
      </c>
      <c r="O40" s="54">
        <v>100000</v>
      </c>
      <c r="P40" s="69">
        <v>576.84</v>
      </c>
      <c r="Q40" s="69">
        <v>576.84</v>
      </c>
    </row>
    <row r="41" spans="2:17" x14ac:dyDescent="0.25">
      <c r="B41" s="54" t="s">
        <v>210</v>
      </c>
      <c r="C41" s="54" t="s">
        <v>252</v>
      </c>
      <c r="D41" s="54" t="s">
        <v>137</v>
      </c>
      <c r="E41" s="54" t="s">
        <v>207</v>
      </c>
      <c r="F41" s="54" t="s">
        <v>156</v>
      </c>
      <c r="G41" s="54" t="s">
        <v>294</v>
      </c>
      <c r="H41" s="54" t="s">
        <v>143</v>
      </c>
      <c r="I41" s="54" t="s">
        <v>302</v>
      </c>
      <c r="J41" s="68">
        <v>45030</v>
      </c>
      <c r="K41" s="68">
        <v>46507</v>
      </c>
      <c r="L41" s="54">
        <v>4.8</v>
      </c>
      <c r="M41" s="54" t="s">
        <v>119</v>
      </c>
      <c r="N41" s="54">
        <v>48</v>
      </c>
      <c r="O41" s="54">
        <v>100000</v>
      </c>
      <c r="P41" s="69">
        <v>576.84</v>
      </c>
      <c r="Q41" s="69">
        <v>576.84</v>
      </c>
    </row>
    <row r="42" spans="2:17" x14ac:dyDescent="0.25">
      <c r="B42" s="54" t="s">
        <v>211</v>
      </c>
      <c r="C42" s="54" t="s">
        <v>252</v>
      </c>
      <c r="D42" s="54" t="s">
        <v>137</v>
      </c>
      <c r="E42" s="54" t="s">
        <v>207</v>
      </c>
      <c r="F42" s="54" t="s">
        <v>156</v>
      </c>
      <c r="G42" s="54" t="s">
        <v>193</v>
      </c>
      <c r="H42" s="54" t="s">
        <v>148</v>
      </c>
      <c r="I42" s="54" t="s">
        <v>153</v>
      </c>
      <c r="J42" s="68">
        <v>45030</v>
      </c>
      <c r="K42" s="68">
        <v>46507</v>
      </c>
      <c r="L42" s="54">
        <v>4.8</v>
      </c>
      <c r="M42" s="54" t="s">
        <v>119</v>
      </c>
      <c r="N42" s="54">
        <v>48</v>
      </c>
      <c r="O42" s="54">
        <v>100000</v>
      </c>
      <c r="P42" s="69">
        <v>576.84</v>
      </c>
      <c r="Q42" s="69">
        <v>498.69</v>
      </c>
    </row>
    <row r="43" spans="2:17" x14ac:dyDescent="0.25">
      <c r="B43" s="54" t="s">
        <v>175</v>
      </c>
      <c r="C43" s="54" t="s">
        <v>252</v>
      </c>
      <c r="D43" s="54" t="s">
        <v>176</v>
      </c>
      <c r="E43" s="54" t="s">
        <v>272</v>
      </c>
      <c r="F43" s="54" t="s">
        <v>177</v>
      </c>
      <c r="G43" s="54" t="s">
        <v>303</v>
      </c>
      <c r="H43" s="54" t="s">
        <v>136</v>
      </c>
      <c r="I43" s="54" t="s">
        <v>141</v>
      </c>
      <c r="J43" s="68">
        <v>44518</v>
      </c>
      <c r="K43" s="68">
        <v>45991</v>
      </c>
      <c r="L43" s="54">
        <v>0</v>
      </c>
      <c r="M43" s="54" t="s">
        <v>122</v>
      </c>
      <c r="N43" s="54">
        <v>48</v>
      </c>
      <c r="O43" s="54">
        <v>100000</v>
      </c>
      <c r="P43" s="69">
        <v>498.69</v>
      </c>
      <c r="Q43" s="69">
        <v>582.33000000000004</v>
      </c>
    </row>
    <row r="44" spans="2:17" x14ac:dyDescent="0.25">
      <c r="B44" s="54" t="s">
        <v>250</v>
      </c>
      <c r="C44" s="54" t="s">
        <v>252</v>
      </c>
      <c r="D44" s="54" t="s">
        <v>137</v>
      </c>
      <c r="E44" s="54" t="s">
        <v>207</v>
      </c>
      <c r="F44" s="54" t="s">
        <v>241</v>
      </c>
      <c r="G44" s="54" t="s">
        <v>187</v>
      </c>
      <c r="H44" s="54" t="s">
        <v>136</v>
      </c>
      <c r="I44" s="54" t="s">
        <v>295</v>
      </c>
      <c r="J44" s="68">
        <v>45398</v>
      </c>
      <c r="K44" s="68">
        <v>46873</v>
      </c>
      <c r="L44" s="54">
        <v>5.8</v>
      </c>
      <c r="M44" s="54" t="s">
        <v>306</v>
      </c>
      <c r="N44" s="54">
        <v>48</v>
      </c>
      <c r="O44" s="54">
        <v>40000</v>
      </c>
      <c r="P44" s="69">
        <v>582.33000000000004</v>
      </c>
      <c r="Q44" s="69">
        <v>654.67999999999995</v>
      </c>
    </row>
    <row r="45" spans="2:17" x14ac:dyDescent="0.25">
      <c r="B45" s="54" t="s">
        <v>190</v>
      </c>
      <c r="C45" s="54" t="s">
        <v>252</v>
      </c>
      <c r="D45" s="54" t="s">
        <v>137</v>
      </c>
      <c r="E45" s="54" t="s">
        <v>121</v>
      </c>
      <c r="F45" s="54" t="s">
        <v>151</v>
      </c>
      <c r="G45" s="54" t="s">
        <v>191</v>
      </c>
      <c r="H45" s="54" t="s">
        <v>148</v>
      </c>
      <c r="I45" s="54" t="s">
        <v>192</v>
      </c>
      <c r="J45" s="68">
        <v>44771</v>
      </c>
      <c r="K45" s="68">
        <v>46234</v>
      </c>
      <c r="L45" s="54">
        <v>5.0999999999999996</v>
      </c>
      <c r="M45" s="54" t="s">
        <v>307</v>
      </c>
      <c r="N45" s="54">
        <v>48</v>
      </c>
      <c r="O45" s="54">
        <v>100000</v>
      </c>
      <c r="P45" s="69">
        <v>654.67999999999995</v>
      </c>
      <c r="Q45" s="69">
        <v>576.84</v>
      </c>
    </row>
    <row r="46" spans="2:17" x14ac:dyDescent="0.25">
      <c r="B46" s="54" t="s">
        <v>222</v>
      </c>
      <c r="C46" s="54" t="s">
        <v>252</v>
      </c>
      <c r="D46" s="54" t="s">
        <v>137</v>
      </c>
      <c r="E46" s="54" t="s">
        <v>207</v>
      </c>
      <c r="F46" s="54" t="s">
        <v>156</v>
      </c>
      <c r="G46" s="54" t="s">
        <v>260</v>
      </c>
      <c r="H46" s="54" t="s">
        <v>143</v>
      </c>
      <c r="I46" s="54" t="s">
        <v>155</v>
      </c>
      <c r="J46" s="68">
        <v>45098</v>
      </c>
      <c r="K46" s="68">
        <v>46568</v>
      </c>
      <c r="L46" s="54">
        <v>4.8</v>
      </c>
      <c r="M46" s="54" t="s">
        <v>119</v>
      </c>
      <c r="N46" s="54">
        <v>48</v>
      </c>
      <c r="O46" s="54">
        <v>100000</v>
      </c>
      <c r="P46" s="69">
        <v>576.84</v>
      </c>
      <c r="Q46" s="69">
        <v>663.11</v>
      </c>
    </row>
    <row r="47" spans="2:17" x14ac:dyDescent="0.25">
      <c r="B47" s="54" t="s">
        <v>228</v>
      </c>
      <c r="C47" s="54" t="s">
        <v>252</v>
      </c>
      <c r="D47" s="54" t="s">
        <v>137</v>
      </c>
      <c r="E47" s="54" t="s">
        <v>207</v>
      </c>
      <c r="F47" s="54" t="s">
        <v>156</v>
      </c>
      <c r="G47" s="54" t="s">
        <v>299</v>
      </c>
      <c r="H47" s="54" t="s">
        <v>143</v>
      </c>
      <c r="I47" s="54" t="s">
        <v>144</v>
      </c>
      <c r="J47" s="68">
        <v>45190</v>
      </c>
      <c r="K47" s="68">
        <v>46660</v>
      </c>
      <c r="L47" s="54">
        <v>4.8</v>
      </c>
      <c r="M47" s="54" t="s">
        <v>119</v>
      </c>
      <c r="N47" s="54">
        <v>48</v>
      </c>
      <c r="O47" s="54">
        <v>100000</v>
      </c>
      <c r="P47" s="69">
        <v>626.86</v>
      </c>
      <c r="Q47" s="69">
        <v>626.86</v>
      </c>
    </row>
    <row r="48" spans="2:17" x14ac:dyDescent="0.25">
      <c r="B48" s="54" t="s">
        <v>323</v>
      </c>
      <c r="C48" s="54" t="s">
        <v>252</v>
      </c>
      <c r="D48" s="54" t="s">
        <v>176</v>
      </c>
      <c r="E48" s="54" t="s">
        <v>324</v>
      </c>
      <c r="F48" s="54" t="s">
        <v>325</v>
      </c>
      <c r="G48" s="54" t="s">
        <v>326</v>
      </c>
      <c r="H48" s="54" t="s">
        <v>308</v>
      </c>
      <c r="I48" s="54" t="s">
        <v>327</v>
      </c>
      <c r="J48" s="68">
        <v>46041</v>
      </c>
      <c r="K48" s="68">
        <v>48244</v>
      </c>
      <c r="L48" s="54">
        <v>0</v>
      </c>
      <c r="M48" s="54" t="s">
        <v>122</v>
      </c>
      <c r="N48" s="54">
        <v>72</v>
      </c>
      <c r="O48" s="54">
        <v>75000</v>
      </c>
      <c r="P48" s="69">
        <v>539.28</v>
      </c>
      <c r="Q48" s="69">
        <v>539.28</v>
      </c>
    </row>
    <row r="49" spans="2:17" x14ac:dyDescent="0.25">
      <c r="B49" s="54" t="s">
        <v>273</v>
      </c>
      <c r="C49" s="54" t="s">
        <v>252</v>
      </c>
      <c r="D49" s="54" t="s">
        <v>137</v>
      </c>
      <c r="E49" s="54" t="s">
        <v>207</v>
      </c>
      <c r="F49" s="54" t="s">
        <v>241</v>
      </c>
      <c r="G49" s="54" t="s">
        <v>195</v>
      </c>
      <c r="H49" s="54" t="s">
        <v>136</v>
      </c>
      <c r="I49" s="54" t="s">
        <v>196</v>
      </c>
      <c r="J49" s="68">
        <v>45726</v>
      </c>
      <c r="K49" s="68">
        <v>47208</v>
      </c>
      <c r="L49" s="54">
        <v>5.8</v>
      </c>
      <c r="M49" s="54" t="s">
        <v>306</v>
      </c>
      <c r="N49" s="54">
        <v>48</v>
      </c>
      <c r="O49" s="54">
        <v>100000</v>
      </c>
      <c r="P49" s="69">
        <v>685.29</v>
      </c>
      <c r="Q49" s="69">
        <v>685.29</v>
      </c>
    </row>
    <row r="50" spans="2:17" x14ac:dyDescent="0.25">
      <c r="B50" s="54" t="s">
        <v>274</v>
      </c>
      <c r="C50" s="54" t="s">
        <v>252</v>
      </c>
      <c r="D50" s="54" t="s">
        <v>137</v>
      </c>
      <c r="E50" s="54" t="s">
        <v>207</v>
      </c>
      <c r="F50" s="54" t="s">
        <v>241</v>
      </c>
      <c r="G50" s="54" t="s">
        <v>198</v>
      </c>
      <c r="H50" s="54" t="s">
        <v>136</v>
      </c>
      <c r="I50" s="54" t="s">
        <v>139</v>
      </c>
      <c r="J50" s="68">
        <v>45726</v>
      </c>
      <c r="K50" s="68">
        <v>47208</v>
      </c>
      <c r="L50" s="54">
        <v>5.8</v>
      </c>
      <c r="M50" s="54" t="s">
        <v>306</v>
      </c>
      <c r="N50" s="54">
        <v>48</v>
      </c>
      <c r="O50" s="54">
        <v>120000</v>
      </c>
      <c r="P50" s="69">
        <v>717.97</v>
      </c>
      <c r="Q50" s="69">
        <v>717.97</v>
      </c>
    </row>
    <row r="51" spans="2:17" x14ac:dyDescent="0.25">
      <c r="B51" s="54" t="s">
        <v>275</v>
      </c>
      <c r="C51" s="54" t="s">
        <v>252</v>
      </c>
      <c r="D51" s="54" t="s">
        <v>137</v>
      </c>
      <c r="E51" s="54" t="s">
        <v>207</v>
      </c>
      <c r="F51" s="54" t="s">
        <v>241</v>
      </c>
      <c r="G51" s="54" t="s">
        <v>297</v>
      </c>
      <c r="H51" s="54" t="s">
        <v>143</v>
      </c>
      <c r="I51" s="54" t="s">
        <v>298</v>
      </c>
      <c r="J51" s="68">
        <v>45726</v>
      </c>
      <c r="K51" s="68">
        <v>47208</v>
      </c>
      <c r="L51" s="54">
        <v>5.8</v>
      </c>
      <c r="M51" s="54" t="s">
        <v>306</v>
      </c>
      <c r="N51" s="54">
        <v>48</v>
      </c>
      <c r="O51" s="54">
        <v>80000</v>
      </c>
      <c r="P51" s="69">
        <v>656.7</v>
      </c>
      <c r="Q51" s="69">
        <v>656.7</v>
      </c>
    </row>
    <row r="52" spans="2:17" x14ac:dyDescent="0.25">
      <c r="B52" s="54" t="s">
        <v>276</v>
      </c>
      <c r="C52" s="54" t="s">
        <v>252</v>
      </c>
      <c r="D52" s="54" t="s">
        <v>137</v>
      </c>
      <c r="E52" s="54" t="s">
        <v>207</v>
      </c>
      <c r="F52" s="54" t="s">
        <v>241</v>
      </c>
      <c r="G52" s="54" t="s">
        <v>181</v>
      </c>
      <c r="H52" s="54" t="s">
        <v>136</v>
      </c>
      <c r="I52" s="54" t="s">
        <v>182</v>
      </c>
      <c r="J52" s="68">
        <v>45726</v>
      </c>
      <c r="K52" s="68">
        <v>47208</v>
      </c>
      <c r="L52" s="54">
        <v>5.8</v>
      </c>
      <c r="M52" s="54" t="s">
        <v>306</v>
      </c>
      <c r="N52" s="54">
        <v>48</v>
      </c>
      <c r="O52" s="54">
        <v>40000</v>
      </c>
      <c r="P52" s="69">
        <v>622.22</v>
      </c>
      <c r="Q52" s="69">
        <v>622.22</v>
      </c>
    </row>
    <row r="53" spans="2:17" x14ac:dyDescent="0.25">
      <c r="B53" s="54" t="s">
        <v>332</v>
      </c>
      <c r="C53" s="54" t="s">
        <v>252</v>
      </c>
      <c r="D53" s="54" t="s">
        <v>137</v>
      </c>
      <c r="E53" s="54" t="s">
        <v>121</v>
      </c>
      <c r="F53" s="54" t="s">
        <v>146</v>
      </c>
      <c r="G53" s="54" t="s">
        <v>199</v>
      </c>
      <c r="H53" s="54" t="s">
        <v>148</v>
      </c>
      <c r="I53" s="54" t="s">
        <v>134</v>
      </c>
      <c r="J53" s="68">
        <v>46107</v>
      </c>
      <c r="K53" s="68">
        <v>47568</v>
      </c>
      <c r="L53" s="70">
        <v>5.6999998092651367</v>
      </c>
      <c r="M53" s="54" t="s">
        <v>119</v>
      </c>
      <c r="N53" s="54">
        <v>48</v>
      </c>
      <c r="O53" s="54">
        <v>80000</v>
      </c>
      <c r="P53" s="69">
        <v>711.21002197265625</v>
      </c>
      <c r="Q53" s="69">
        <v>543.1</v>
      </c>
    </row>
    <row r="54" spans="2:17" x14ac:dyDescent="0.25">
      <c r="B54" s="54" t="s">
        <v>202</v>
      </c>
      <c r="C54" s="54" t="s">
        <v>252</v>
      </c>
      <c r="D54" s="54" t="s">
        <v>137</v>
      </c>
      <c r="E54" s="54" t="s">
        <v>120</v>
      </c>
      <c r="F54" s="54" t="s">
        <v>168</v>
      </c>
      <c r="G54" s="54" t="s">
        <v>235</v>
      </c>
      <c r="H54" s="54" t="s">
        <v>143</v>
      </c>
      <c r="I54" s="54" t="s">
        <v>155</v>
      </c>
      <c r="J54" s="68">
        <v>44862</v>
      </c>
      <c r="K54" s="68">
        <v>46326</v>
      </c>
      <c r="L54" s="54">
        <v>5.0999999999999996</v>
      </c>
      <c r="M54" s="54" t="s">
        <v>119</v>
      </c>
      <c r="N54" s="54">
        <v>48</v>
      </c>
      <c r="O54" s="54">
        <v>100000</v>
      </c>
      <c r="P54" s="69">
        <v>561.19000000000005</v>
      </c>
      <c r="Q54" s="69">
        <v>561.19000000000005</v>
      </c>
    </row>
    <row r="55" spans="2:17" x14ac:dyDescent="0.25">
      <c r="B55" s="63"/>
      <c r="C55" s="63"/>
      <c r="D55" s="63"/>
      <c r="E55" s="63"/>
      <c r="F55" s="63"/>
      <c r="G55" s="63"/>
      <c r="H55" s="63"/>
      <c r="I55" s="63"/>
      <c r="J55" s="63"/>
      <c r="K55" s="65"/>
      <c r="L55" s="65"/>
      <c r="M55" s="63"/>
      <c r="N55" s="63"/>
      <c r="O55" s="63"/>
      <c r="P55" s="63"/>
      <c r="Q55" s="64"/>
    </row>
    <row r="56" spans="2:17" x14ac:dyDescent="0.25">
      <c r="B56"/>
      <c r="C56"/>
      <c r="D56"/>
      <c r="E56"/>
      <c r="F56"/>
      <c r="G56"/>
      <c r="H56"/>
      <c r="I56"/>
      <c r="J56"/>
      <c r="K56" s="61"/>
      <c r="L56" s="61"/>
      <c r="M56"/>
      <c r="N56"/>
      <c r="O56"/>
      <c r="P56"/>
      <c r="Q56" s="58"/>
    </row>
    <row r="57" spans="2:17" x14ac:dyDescent="0.25">
      <c r="B57"/>
      <c r="C57"/>
      <c r="D57"/>
      <c r="E57"/>
      <c r="F57"/>
      <c r="G57"/>
      <c r="H57"/>
      <c r="I57"/>
      <c r="J57"/>
      <c r="K57" s="61"/>
      <c r="L57" s="61"/>
      <c r="M57"/>
      <c r="N57"/>
      <c r="O57"/>
      <c r="P57"/>
      <c r="Q57" s="58"/>
    </row>
    <row r="58" spans="2:17" x14ac:dyDescent="0.25">
      <c r="B58"/>
      <c r="C58"/>
      <c r="D58"/>
      <c r="E58"/>
      <c r="F58"/>
      <c r="G58"/>
      <c r="H58"/>
      <c r="I58"/>
      <c r="J58"/>
      <c r="K58" s="61"/>
      <c r="L58" s="61"/>
      <c r="M58"/>
      <c r="N58"/>
      <c r="O58"/>
      <c r="P58"/>
      <c r="Q58" s="58"/>
    </row>
    <row r="59" spans="2:17" x14ac:dyDescent="0.25">
      <c r="B59"/>
      <c r="C59"/>
      <c r="D59"/>
      <c r="E59"/>
      <c r="F59"/>
      <c r="G59"/>
      <c r="H59"/>
      <c r="I59"/>
      <c r="J59"/>
      <c r="K59" s="61"/>
      <c r="L59" s="61"/>
      <c r="M59"/>
      <c r="N59"/>
      <c r="O59"/>
      <c r="P59"/>
      <c r="Q59" s="58"/>
    </row>
    <row r="60" spans="2:17" x14ac:dyDescent="0.25">
      <c r="B60" s="38"/>
      <c r="C60"/>
      <c r="D60"/>
      <c r="E60"/>
      <c r="F60"/>
      <c r="G60"/>
      <c r="H60" s="54"/>
      <c r="I60" s="54"/>
      <c r="J60"/>
      <c r="K60" s="39"/>
      <c r="L60" s="39"/>
      <c r="M60" s="40"/>
      <c r="N60"/>
      <c r="O60" s="41"/>
      <c r="P60" s="41"/>
      <c r="Q60" s="40"/>
    </row>
    <row r="61" spans="2:17" x14ac:dyDescent="0.25">
      <c r="B61" s="38"/>
      <c r="C61"/>
      <c r="D61"/>
      <c r="E61"/>
      <c r="F61"/>
      <c r="G61"/>
      <c r="H61" s="54"/>
      <c r="I61" s="54"/>
      <c r="J61"/>
      <c r="K61" s="39"/>
      <c r="L61" s="39"/>
      <c r="M61" s="40"/>
      <c r="N61"/>
      <c r="O61" s="41"/>
      <c r="P61" s="41"/>
      <c r="Q61" s="40"/>
    </row>
    <row r="62" spans="2:17" x14ac:dyDescent="0.25">
      <c r="B62" s="42"/>
      <c r="C62" s="43"/>
      <c r="D62" s="43"/>
      <c r="E62" s="43"/>
      <c r="F62" s="43"/>
      <c r="G62" s="43"/>
      <c r="H62" s="55"/>
      <c r="I62" s="57"/>
      <c r="J62" s="43"/>
      <c r="K62" s="44"/>
      <c r="L62" s="44"/>
      <c r="M62" s="45"/>
      <c r="N62" s="43"/>
      <c r="O62" s="46"/>
      <c r="P62" s="46"/>
      <c r="Q62" s="45"/>
    </row>
    <row r="63" spans="2:17" x14ac:dyDescent="0.25">
      <c r="B63" s="38"/>
      <c r="C63"/>
      <c r="D63"/>
      <c r="E63"/>
      <c r="F63"/>
      <c r="G63"/>
      <c r="H63" s="54"/>
      <c r="I63" s="54"/>
      <c r="J63"/>
      <c r="K63" s="39"/>
      <c r="L63" s="39"/>
      <c r="M63" s="40"/>
      <c r="N63"/>
      <c r="O63" s="41"/>
      <c r="P63" s="41"/>
      <c r="Q63" s="40"/>
    </row>
    <row r="64" spans="2:17" x14ac:dyDescent="0.25">
      <c r="B64" s="38"/>
      <c r="C64"/>
      <c r="D64"/>
      <c r="E64"/>
      <c r="F64"/>
      <c r="G64"/>
      <c r="H64" s="54"/>
      <c r="I64" s="54"/>
      <c r="J64"/>
      <c r="K64" s="39"/>
      <c r="L64" s="39"/>
      <c r="M64" s="40"/>
      <c r="N64"/>
      <c r="O64" s="41"/>
      <c r="P64" s="41"/>
      <c r="Q64" s="40"/>
    </row>
    <row r="65" spans="2:17" x14ac:dyDescent="0.25">
      <c r="B65" s="38"/>
      <c r="C65"/>
      <c r="D65"/>
      <c r="E65"/>
      <c r="F65"/>
      <c r="G65"/>
      <c r="H65" s="54"/>
      <c r="I65" s="54"/>
      <c r="J65"/>
      <c r="K65" s="39"/>
      <c r="L65" s="39"/>
      <c r="M65" s="40"/>
      <c r="N65"/>
      <c r="O65" s="41"/>
      <c r="P65" s="41"/>
      <c r="Q65" s="40"/>
    </row>
    <row r="66" spans="2:17" x14ac:dyDescent="0.25">
      <c r="B66" s="42"/>
      <c r="C66" s="43"/>
      <c r="D66" s="43"/>
      <c r="E66" s="43"/>
      <c r="F66" s="43"/>
      <c r="G66" s="43"/>
      <c r="H66" s="55"/>
      <c r="I66" s="56"/>
      <c r="J66" s="43"/>
      <c r="K66" s="44"/>
      <c r="L66" s="44"/>
      <c r="M66" s="45"/>
      <c r="N66" s="43"/>
      <c r="O66" s="46"/>
      <c r="P66" s="46"/>
      <c r="Q66" s="45"/>
    </row>
    <row r="67" spans="2:17" x14ac:dyDescent="0.25">
      <c r="B67" s="42"/>
      <c r="C67" s="43"/>
      <c r="D67" s="43"/>
      <c r="E67" s="43"/>
      <c r="F67" s="43"/>
      <c r="G67" s="43"/>
      <c r="H67" s="55"/>
      <c r="I67" s="54"/>
      <c r="J67" s="43"/>
      <c r="K67" s="44"/>
      <c r="L67" s="44"/>
      <c r="M67" s="45"/>
      <c r="N67" s="43"/>
      <c r="O67" s="46"/>
      <c r="P67" s="46"/>
      <c r="Q67" s="45"/>
    </row>
  </sheetData>
  <autoFilter ref="B10:Q66" xr:uid="{5CF3157C-0043-4F1D-9400-9520D1DA4339}"/>
  <conditionalFormatting sqref="B10:B54">
    <cfRule type="duplicateValues" dxfId="4" priority="33"/>
  </conditionalFormatting>
  <conditionalFormatting sqref="B55">
    <cfRule type="duplicateValues" dxfId="3" priority="2"/>
  </conditionalFormatting>
  <conditionalFormatting sqref="B56">
    <cfRule type="duplicateValues" dxfId="2" priority="1"/>
  </conditionalFormatting>
  <conditionalFormatting sqref="B57">
    <cfRule type="duplicateValues" dxfId="1" priority="7"/>
  </conditionalFormatting>
  <conditionalFormatting sqref="B58:B59">
    <cfRule type="duplicateValues" dxfId="0" priority="32"/>
  </conditionalFormatting>
  <pageMargins left="0.7" right="0.7" top="0.75" bottom="0.75" header="0.3" footer="0.3"/>
  <pageSetup orientation="portrait" r:id="rId1"/>
  <headerFooter>
    <oddFooter>&amp;R_x000D_&amp;1#&amp;"Arial"&amp;16&amp;K009FE4 INTERNAL</oddFooter>
  </headerFooter>
  <customProperties>
    <customPr name="_pios_id" r:id="rId2"/>
  </customProperties>
</worksheet>
</file>

<file path=docMetadata/LabelInfo.xml><?xml version="1.0" encoding="utf-8"?>
<clbl:labelList xmlns:clbl="http://schemas.microsoft.com/office/2020/mipLabelMetadata">
  <clbl:label id="{414265fa-647b-47e7-b680-93dcd1b54bd3}" enabled="1" method="Privileged" siteId="{0468bc4a-134c-4fb0-b843-a2a3d583e91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Información</vt:lpstr>
      <vt:lpstr>Liquidaciones de combustible</vt:lpstr>
      <vt:lpstr>consumo</vt:lpstr>
      <vt:lpstr>flota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Jaramillo Sanchez</dc:creator>
  <cp:keywords/>
  <dc:description/>
  <cp:lastModifiedBy>Dusan Oravsky</cp:lastModifiedBy>
  <cp:revision/>
  <dcterms:created xsi:type="dcterms:W3CDTF">2021-07-01T15:40:08Z</dcterms:created>
  <dcterms:modified xsi:type="dcterms:W3CDTF">2026-05-07T11:27:34Z</dcterms:modified>
  <cp:category/>
  <cp:contentStatus/>
</cp:coreProperties>
</file>